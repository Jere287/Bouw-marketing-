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rametros" sheetId="2" state="visible" r:id="rId2"/>
    <sheet name="Resumen" sheetId="3" state="visible" r:id="rId3"/>
    <sheet name="Horas" sheetId="4" state="visible" r:id="rId4"/>
    <sheet name="Proyectos" sheetId="5" state="visible" r:id="rId5"/>
    <sheet name="Gas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;($#,##0.00);-"/>
    <numFmt numFmtId="166" formatCode="yyyy-mm-dd"/>
    <numFmt numFmtId="167" formatCode="dd/mm/yyyy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  <color theme="1"/>
      <sz val="11"/>
    </font>
    <font>
      <name val="Arial"/>
      <i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4161A"/>
      </patternFill>
    </fill>
    <fill>
      <patternFill patternType="solid">
        <fgColor rgb="00FFFF00"/>
      </patternFill>
    </fill>
    <fill>
      <patternFill patternType="solid">
        <fgColor rgb="00FFE3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5" fillId="0" borderId="0" pivotButton="0" quotePrefix="0" xfId="0"/>
    <xf numFmtId="0" fontId="2" fillId="0" borderId="0" pivotButton="0" quotePrefix="0" xfId="0"/>
    <xf numFmtId="164" fontId="6" fillId="0" borderId="0" pivotButton="0" quotePrefix="0" xfId="0"/>
    <xf numFmtId="1" fontId="5" fillId="3" borderId="0" pivotButton="0" quotePrefix="0" xfId="0"/>
    <xf numFmtId="165" fontId="5" fillId="3" borderId="0" pivotButton="0" quotePrefix="0" xfId="0"/>
    <xf numFmtId="165" fontId="6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2" fillId="0" borderId="0" pivotButton="0" quotePrefix="0" xfId="0"/>
    <xf numFmtId="165" fontId="3" fillId="4" borderId="0" pivotButton="0" quotePrefix="0" xfId="0"/>
    <xf numFmtId="165" fontId="3" fillId="0" borderId="0" pivotButton="0" quotePrefix="0" xfId="0"/>
    <xf numFmtId="0" fontId="6" fillId="4" borderId="0" pivotButton="0" quotePrefix="0" xfId="0"/>
    <xf numFmtId="164" fontId="2" fillId="0" borderId="0" pivotButton="0" quotePrefix="0" xfId="0"/>
    <xf numFmtId="0" fontId="7" fillId="0" borderId="0" pivotButton="0" quotePrefix="0" xfId="0"/>
    <xf numFmtId="167" fontId="5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168" fontId="5" fillId="0" borderId="1" pivotButton="0" quotePrefix="0" xfId="0"/>
    <xf numFmtId="167" fontId="5" fillId="0" borderId="0" pivotButton="0" quotePrefix="0" xfId="0"/>
    <xf numFmtId="168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Bouw</author>
  </authors>
  <commentList>
    <comment ref="M4" authorId="0" shapeId="0">
      <text>
        <t>Si no hay horas registradas, la ejecución se reparte según el % de propiedad.</t>
      </text>
    </comment>
    <comment ref="Q4" authorId="0" shapeId="0">
      <text>
        <t>Si el líder no es ninguno de los dos socios, el % de líder se reparte según la propiedad.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Reparto Bouw: dos socios, dos dueños</t>
        </is>
      </c>
    </row>
    <row r="2">
      <c r="A2" s="2" t="inlineStr"/>
    </row>
    <row r="3">
      <c r="A3" s="3" t="inlineStr">
        <is>
          <t>Cómo funciona (3 capas)</t>
        </is>
      </c>
    </row>
    <row r="4">
      <c r="A4" s="2" t="inlineStr">
        <is>
          <t>1. PROPIEDAD: los dos son dueños (50/50 por defecto, en Parametros). Lo que queda en el Fondo Bouw es de los dos según ese %.</t>
        </is>
      </c>
    </row>
    <row r="5">
      <c r="A5" s="2" t="inlineStr">
        <is>
          <t>2. TRABAJO: de cada proyecto neto se paga Origen (quien consiguió el cliente), Líder (quien coordina) y Ejecución (según horas).</t>
        </is>
      </c>
    </row>
    <row r="6">
      <c r="A6" s="2" t="inlineStr">
        <is>
          <t>3. UTILIDAD ANUAL: el Fondo Bouw menos gastos e impuestos se reparte como dividendos según la propiedad.</t>
        </is>
      </c>
    </row>
    <row r="7">
      <c r="A7" s="2" t="inlineStr"/>
    </row>
    <row r="8">
      <c r="A8" s="3" t="inlineStr">
        <is>
          <t>Qué llenar</t>
        </is>
      </c>
    </row>
    <row r="9">
      <c r="A9" s="2" t="inlineStr">
        <is>
          <t>Parametros: nombres de los socios, % de propiedad, % de reparto y datos tributarios (celdas amarillas, texto azul).</t>
        </is>
      </c>
    </row>
    <row r="10">
      <c r="A10" s="2" t="inlineStr">
        <is>
          <t>Horas: una fila por cada bloque de trabajo (fecha, ID de proyecto, socio, horas, tarea).</t>
        </is>
      </c>
    </row>
    <row r="11">
      <c r="A11" s="2" t="inlineStr">
        <is>
          <t>Proyectos: una fila por proyecto o por cada mes de un cliente recurrente (ingreso sin IVA, costos directos, quién consiguió, quién lidera).</t>
        </is>
      </c>
    </row>
    <row r="12">
      <c r="A12" s="2" t="inlineStr">
        <is>
          <t>Gastos: gastos de la empresa pagados con el Fondo Bouw (contador, herramientas, publicidad, etc.).</t>
        </is>
      </c>
    </row>
    <row r="13">
      <c r="A13" s="2" t="inlineStr">
        <is>
          <t>Resumen: no se llena. Muestra lo que gana cada socio por mes y en el año, como trabajador y como dueño.</t>
        </is>
      </c>
    </row>
    <row r="14">
      <c r="A14" s="2" t="inlineStr"/>
    </row>
    <row r="15">
      <c r="A15" s="3" t="inlineStr">
        <is>
          <t>Colores</t>
        </is>
      </c>
    </row>
    <row r="16">
      <c r="A16" s="2" t="inlineStr">
        <is>
          <t>Texto azul + fondo amarillo = dato que ustedes ingresan. Texto negro = fórmula (no tocar). Texto verde = viene de otra hoja.</t>
        </is>
      </c>
    </row>
    <row r="17">
      <c r="A17" s="2" t="inlineStr"/>
    </row>
    <row r="18">
      <c r="A18" s="3" t="inlineStr">
        <is>
          <t>Ejemplos</t>
        </is>
      </c>
    </row>
    <row r="19">
      <c r="A19" s="2" t="inlineStr">
        <is>
          <t>Las filas marcadas EJEMPLO en Proyectos, Horas y Gastos muestran el formato. Bórrenlas (solo las celdas azules) cuando empiecen a registrar datos reales.</t>
        </is>
      </c>
    </row>
    <row r="20">
      <c r="A20" s="2" t="inlineStr"/>
    </row>
    <row r="21">
      <c r="A21" s="3" t="inlineStr">
        <is>
          <t>Importante</t>
        </is>
      </c>
    </row>
    <row r="22">
      <c r="A22" s="2" t="inlineStr">
        <is>
          <t>Los cálculos tributarios son una aproximación para planificar. Validen tasas, reservas y la forma de pago (honorarios o sueldo) con su contador.</t>
        </is>
      </c>
    </row>
    <row r="23">
      <c r="A23" s="2" t="inlineStr">
        <is>
          <t>El pago por trabajo (Origen, Líder, Ejecución) se muestra antes de impuestos personales y retenciones.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36" customWidth="1" min="3" max="3"/>
    <col width="70" customWidth="1" min="4" max="4"/>
  </cols>
  <sheetData>
    <row r="1">
      <c r="A1" s="4" t="inlineStr">
        <is>
          <t>Parámetros del reparto</t>
        </is>
      </c>
      <c r="B1" s="5" t="n"/>
      <c r="C1" s="5" t="n"/>
      <c r="D1" s="5" t="n"/>
      <c r="E1" s="5" t="n"/>
      <c r="F1" s="5" t="n"/>
      <c r="G1" s="5" t="n"/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6" t="inlineStr">
        <is>
          <t>Socios y propiedad</t>
        </is>
      </c>
      <c r="B3" s="5" t="n"/>
      <c r="C3" s="5" t="n"/>
      <c r="D3" s="5" t="n"/>
      <c r="E3" s="5" t="n"/>
      <c r="F3" s="5" t="n"/>
      <c r="G3" s="5" t="n"/>
    </row>
    <row r="4">
      <c r="A4" s="7" t="inlineStr">
        <is>
          <t>Socio</t>
        </is>
      </c>
      <c r="B4" s="7" t="inlineStr">
        <is>
          <t>Nombre</t>
        </is>
      </c>
      <c r="C4" s="7" t="inlineStr">
        <is>
          <t>% de propiedad</t>
        </is>
      </c>
      <c r="D4" s="7" t="inlineStr">
        <is>
          <t>Especialidad</t>
        </is>
      </c>
      <c r="E4" s="5" t="n"/>
      <c r="F4" s="6" t="inlineStr">
        <is>
          <t>Listas</t>
        </is>
      </c>
      <c r="G4" s="5" t="n"/>
    </row>
    <row r="5">
      <c r="A5" s="5" t="inlineStr">
        <is>
          <t>Socio 1</t>
        </is>
      </c>
      <c r="B5" s="8" t="inlineStr">
        <is>
          <t>[Tu nombre]</t>
        </is>
      </c>
      <c r="C5" s="9" t="n">
        <v>0.5</v>
      </c>
      <c r="D5" s="10" t="inlineStr">
        <is>
          <t>Procesos (Ing. Industrial)</t>
        </is>
      </c>
      <c r="E5" s="5" t="n"/>
      <c r="F5" s="11">
        <f>B5</f>
        <v/>
      </c>
      <c r="G5" s="5" t="inlineStr">
        <is>
          <t>Procesos</t>
        </is>
      </c>
    </row>
    <row r="6">
      <c r="A6" s="5" t="inlineStr">
        <is>
          <t>Socio 2</t>
        </is>
      </c>
      <c r="B6" s="8" t="inlineStr">
        <is>
          <t>[Nombre del socio]</t>
        </is>
      </c>
      <c r="C6" s="9" t="n">
        <v>0.5</v>
      </c>
      <c r="D6" s="10" t="inlineStr">
        <is>
          <t>Informático / Ciberseguridad</t>
        </is>
      </c>
      <c r="E6" s="5" t="n"/>
      <c r="F6" s="11">
        <f>B6</f>
        <v/>
      </c>
      <c r="G6" s="5" t="inlineStr">
        <is>
          <t>Seguridad</t>
        </is>
      </c>
    </row>
    <row r="7">
      <c r="A7" s="6" t="inlineStr">
        <is>
          <t>Total</t>
        </is>
      </c>
      <c r="B7" s="5" t="n"/>
      <c r="C7" s="12">
        <f>C5+C6</f>
        <v/>
      </c>
      <c r="D7" s="5">
        <f>IF(ROUND(C7,6)=1,"OK","Revisar: debe sumar 100%")</f>
        <v/>
      </c>
      <c r="E7" s="5" t="n"/>
      <c r="F7" s="11">
        <f>B16</f>
        <v/>
      </c>
      <c r="G7" s="5" t="inlineStr">
        <is>
          <t>Mixto</t>
        </is>
      </c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6" t="inlineStr">
        <is>
          <t>Reparto de cada proyecto (sobre el ingreso neto)</t>
        </is>
      </c>
      <c r="B9" s="5" t="n"/>
      <c r="C9" s="5" t="n"/>
      <c r="D9" s="5" t="n"/>
      <c r="E9" s="5" t="n"/>
      <c r="F9" s="5" t="n"/>
      <c r="G9" s="5" t="n"/>
    </row>
    <row r="10">
      <c r="A10" s="7" t="inlineStr">
        <is>
          <t>Concepto</t>
        </is>
      </c>
      <c r="B10" s="7" t="inlineStr">
        <is>
          <t>% del neto</t>
        </is>
      </c>
      <c r="C10" s="7" t="inlineStr">
        <is>
          <t>Para quién</t>
        </is>
      </c>
      <c r="D10" s="7" t="inlineStr">
        <is>
          <t>Nota</t>
        </is>
      </c>
      <c r="E10" s="5" t="n"/>
      <c r="F10" s="5" t="n"/>
      <c r="G10" s="5" t="n"/>
    </row>
    <row r="11">
      <c r="A11" s="5" t="inlineStr">
        <is>
          <t>Fondo Bouw</t>
        </is>
      </c>
      <c r="B11" s="9" t="n">
        <v>0.2</v>
      </c>
      <c r="C11" s="5" t="inlineStr">
        <is>
          <t>La empresa (de los dos, según propiedad)</t>
        </is>
      </c>
      <c r="D11" s="5" t="inlineStr">
        <is>
          <t>Marketing, herramientas, contador, reservas e impuestos</t>
        </is>
      </c>
      <c r="E11" s="5" t="n"/>
      <c r="F11" s="5" t="n"/>
      <c r="G11" s="5" t="n"/>
    </row>
    <row r="12">
      <c r="A12" s="5" t="inlineStr">
        <is>
          <t>Origen</t>
        </is>
      </c>
      <c r="B12" s="9" t="n">
        <v>0.1</v>
      </c>
      <c r="C12" s="5" t="inlineStr">
        <is>
          <t>Quien consiguió el cliente</t>
        </is>
      </c>
      <c r="D12" s="5" t="inlineStr">
        <is>
          <t>Si el cliente llegó por la marca (web, redes), va al Fondo Bouw</t>
        </is>
      </c>
      <c r="E12" s="5" t="n"/>
      <c r="F12" s="5" t="n"/>
      <c r="G12" s="5" t="n"/>
    </row>
    <row r="13">
      <c r="A13" s="5" t="inlineStr">
        <is>
          <t>Líder del proyecto</t>
        </is>
      </c>
      <c r="B13" s="9" t="n">
        <v>0.1</v>
      </c>
      <c r="C13" s="5" t="inlineStr">
        <is>
          <t>Quien coordina y responde al cliente</t>
        </is>
      </c>
      <c r="D13" s="5" t="inlineStr">
        <is>
          <t>Lidera quien sabe del tema</t>
        </is>
      </c>
      <c r="E13" s="5" t="n"/>
      <c r="F13" s="5" t="n"/>
      <c r="G13" s="5" t="n"/>
    </row>
    <row r="14">
      <c r="A14" s="5" t="inlineStr">
        <is>
          <t>Ejecución</t>
        </is>
      </c>
      <c r="B14" s="12">
        <f>1-B11-B12-B13</f>
        <v/>
      </c>
      <c r="C14" s="5" t="inlineStr">
        <is>
          <t>Los dos, según horas registradas</t>
        </is>
      </c>
      <c r="D14" s="5" t="inlineStr">
        <is>
          <t>Se calcula solo: lo que resta</t>
        </is>
      </c>
      <c r="E14" s="5" t="n"/>
      <c r="F14" s="5" t="n"/>
      <c r="G14" s="5" t="n"/>
    </row>
    <row r="15">
      <c r="A15" s="6" t="inlineStr">
        <is>
          <t>Total</t>
        </is>
      </c>
      <c r="B15" s="12">
        <f>SUM(B11:B14)</f>
        <v/>
      </c>
      <c r="C15" s="5" t="n"/>
      <c r="D15" s="5">
        <f>IF(AND(ROUND(B15,6)=1,B14&gt;=0),"OK","Revisar porcentajes")</f>
        <v/>
      </c>
      <c r="E15" s="5" t="n"/>
      <c r="F15" s="5" t="n"/>
      <c r="G15" s="5" t="n"/>
    </row>
    <row r="16">
      <c r="A16" s="5" t="inlineStr">
        <is>
          <t>Opción de origen sin socio</t>
        </is>
      </c>
      <c r="B16" s="5" t="inlineStr">
        <is>
          <t>Bouw (marca)</t>
        </is>
      </c>
      <c r="C16" s="5" t="n"/>
      <c r="D16" s="5" t="inlineStr">
        <is>
          <t>Elegir esta opción en Proyectos cuando el cliente llegó por la marca</t>
        </is>
      </c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6" t="inlineStr">
        <is>
          <t>Datos del año y tributarios (confirmar con el contador)</t>
        </is>
      </c>
      <c r="B18" s="5" t="n"/>
      <c r="C18" s="5" t="n"/>
      <c r="D18" s="5" t="n"/>
      <c r="E18" s="5" t="n"/>
      <c r="F18" s="5" t="n"/>
      <c r="G18" s="5" t="n"/>
    </row>
    <row r="19">
      <c r="A19" s="7" t="inlineStr">
        <is>
          <t>Concepto</t>
        </is>
      </c>
      <c r="B19" s="7" t="inlineStr">
        <is>
          <t>Valor</t>
        </is>
      </c>
      <c r="C19" s="7" t="inlineStr"/>
      <c r="D19" s="7" t="inlineStr">
        <is>
          <t>Fuente / nota</t>
        </is>
      </c>
      <c r="E19" s="5" t="n"/>
      <c r="F19" s="5" t="n"/>
      <c r="G19" s="5" t="n"/>
    </row>
    <row r="20">
      <c r="A20" s="5" t="inlineStr">
        <is>
          <t>Año del reparto</t>
        </is>
      </c>
      <c r="B20" s="13" t="n">
        <v>2026</v>
      </c>
      <c r="C20" s="5" t="n"/>
      <c r="D20" s="5" t="inlineStr">
        <is>
          <t>Año que se está registrando</t>
        </is>
      </c>
      <c r="E20" s="5" t="n"/>
      <c r="F20" s="5" t="n"/>
      <c r="G20" s="5" t="n"/>
    </row>
    <row r="21">
      <c r="A21" s="5" t="inlineStr">
        <is>
          <t>¿Hay trabajadores en relación de dependencia? (Sí/No)</t>
        </is>
      </c>
      <c r="B21" s="8" t="inlineStr">
        <is>
          <t>No</t>
        </is>
      </c>
      <c r="C21" s="5" t="n"/>
      <c r="D21" s="5" t="inlineStr">
        <is>
          <t>Si es Sí, se calcula el 15% de participación de trabajadores antes del impuesto a la renta</t>
        </is>
      </c>
      <c r="E21" s="5" t="n"/>
      <c r="F21" s="5" t="n"/>
      <c r="G21" s="5" t="n"/>
    </row>
    <row r="22">
      <c r="A22" s="5" t="inlineStr">
        <is>
          <t>Participación de trabajadores</t>
        </is>
      </c>
      <c r="B22" s="9" t="n">
        <v>0.15</v>
      </c>
      <c r="C22" s="5" t="n"/>
      <c r="D22" s="5" t="inlineStr">
        <is>
          <t>Código del Trabajo; orden de reparto en SAS según EasyTax (easytaxec.com/blog/reparto-de-utilidades-en-una-sas)</t>
        </is>
      </c>
      <c r="E22" s="5" t="n"/>
      <c r="F22" s="5" t="n"/>
      <c r="G22" s="5" t="n"/>
    </row>
    <row r="23">
      <c r="A23" s="5" t="inlineStr">
        <is>
          <t>Tarifa de impuesto a la renta de sociedades</t>
        </is>
      </c>
      <c r="B23" s="9" t="n">
        <v>0.25</v>
      </c>
      <c r="C23" s="5" t="n"/>
      <c r="D23" s="5" t="inlineStr">
        <is>
          <t>Supuesto: tarifa general. Confirmar si aplica tarifa reducida</t>
        </is>
      </c>
      <c r="E23" s="5" t="n"/>
      <c r="F23" s="5" t="n"/>
      <c r="G23" s="5" t="n"/>
    </row>
    <row r="24">
      <c r="A24" s="5" t="inlineStr">
        <is>
          <t>Reserva (si aplica)</t>
        </is>
      </c>
      <c r="B24" s="9" t="n">
        <v>0</v>
      </c>
      <c r="C24" s="5" t="n"/>
      <c r="D24" s="5" t="inlineStr">
        <is>
          <t>Supuesto 0%. Confirmar con el contador si la SAS debe apartar reserva</t>
        </is>
      </c>
      <c r="E24" s="5" t="n"/>
      <c r="F24" s="5" t="n"/>
      <c r="G24" s="5" t="n"/>
    </row>
    <row r="25">
      <c r="A25" s="5" t="inlineStr">
        <is>
          <t>Porcentaje de la utilidad neta que se reinvierte</t>
        </is>
      </c>
      <c r="B25" s="9" t="n">
        <v>0</v>
      </c>
      <c r="C25" s="5" t="n"/>
      <c r="D25" s="5" t="inlineStr">
        <is>
          <t>Decisión de los socios; el resto se reparte como dividendos</t>
        </is>
      </c>
      <c r="E25" s="5" t="n"/>
      <c r="F25" s="5" t="n"/>
      <c r="G25" s="5" t="n"/>
    </row>
    <row r="26">
      <c r="A26" s="5" t="inlineStr">
        <is>
          <t>Retención sobre dividendos (residentes)</t>
        </is>
      </c>
      <c r="B26" s="9" t="n">
        <v>0.12</v>
      </c>
      <c r="C26" s="5" t="n"/>
      <c r="D26" s="5" t="inlineStr">
        <is>
          <t>Ley Orgánica de Transparencia Social (2025) y reglamento; SRI boletín 043</t>
        </is>
      </c>
      <c r="E26" s="5" t="n"/>
      <c r="F26" s="5" t="n"/>
      <c r="G26" s="5" t="n"/>
    </row>
    <row r="27">
      <c r="A27" s="5" t="inlineStr">
        <is>
          <t>Salario básico unificado del año (USD)</t>
        </is>
      </c>
      <c r="B27" s="14" t="n">
        <v>482</v>
      </c>
      <c r="C27" s="5" t="n"/>
      <c r="D27" s="5" t="inlineStr">
        <is>
          <t>Supuesto: confirmar el valor oficial del año</t>
        </is>
      </c>
      <c r="E27" s="5" t="n"/>
      <c r="F27" s="5" t="n"/>
      <c r="G27" s="5" t="n"/>
    </row>
    <row r="28">
      <c r="A28" s="5" t="inlineStr">
        <is>
          <t>Salarios básicos exentos por socio</t>
        </is>
      </c>
      <c r="B28" s="13" t="n">
        <v>3</v>
      </c>
      <c r="C28" s="5" t="n"/>
      <c r="D28" s="5" t="inlineStr">
        <is>
          <t>Franja exenta de 3 SBU por sociedad y persona natural residente (Contapp, dividendos 2026)</t>
        </is>
      </c>
      <c r="E28" s="5" t="n"/>
      <c r="F28" s="5" t="n"/>
      <c r="G28" s="5" t="n"/>
    </row>
    <row r="29">
      <c r="A29" s="5" t="inlineStr">
        <is>
          <t>Monto exento por socio (USD)</t>
        </is>
      </c>
      <c r="B29" s="15">
        <f>B27*B28</f>
        <v/>
      </c>
      <c r="C29" s="5" t="n"/>
      <c r="D29" s="5" t="inlineStr">
        <is>
          <t>Se calcula solo</t>
        </is>
      </c>
      <c r="E29" s="5" t="n"/>
      <c r="F29" s="5" t="n"/>
      <c r="G29" s="5" t="n"/>
    </row>
  </sheetData>
  <dataValidations count="1">
    <dataValidation sqref="B2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4" t="inlineStr">
        <is>
          <t>Resumen: cuánto gana cada socio como trabajador y como dueño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16">
        <f>"Socio 1: "&amp;Parametros!B5&amp;"   ·   Socio 2: "&amp;Parametros!B6&amp;"   ·   Año "&amp;Parametros!B20</f>
        <v/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42" customHeight="1">
      <c r="A4" s="17" t="inlineStr">
        <is>
          <t>Mes</t>
        </is>
      </c>
      <c r="B4" s="17" t="inlineStr">
        <is>
          <t>Ingreso neto (USD)</t>
        </is>
      </c>
      <c r="C4" s="17" t="inlineStr">
        <is>
          <t>Trabajo socio 1 (USD)</t>
        </is>
      </c>
      <c r="D4" s="17" t="inlineStr">
        <is>
          <t>Trabajo socio 2 (USD)</t>
        </is>
      </c>
      <c r="E4" s="17" t="inlineStr">
        <is>
          <t>Aporte al Fondo Bouw (USD)</t>
        </is>
      </c>
      <c r="F4" s="17" t="inlineStr">
        <is>
          <t>Gastos de la empresa (USD)</t>
        </is>
      </c>
      <c r="G4" s="17" t="inlineStr">
        <is>
          <t>Fondo neto del mes (USD)</t>
        </is>
      </c>
      <c r="H4" s="17" t="inlineStr">
        <is>
          <t>Parte de dueño socio 1 (USD)</t>
        </is>
      </c>
      <c r="I4" s="17" t="inlineStr">
        <is>
          <t>Parte de dueño socio 2 (USD)</t>
        </is>
      </c>
    </row>
    <row r="5">
      <c r="A5" s="5" t="inlineStr">
        <is>
          <t>Enero</t>
        </is>
      </c>
      <c r="B5" s="18">
        <f>SUMIFS(Proyectos!$J$5:$J$204,Proyectos!$D$5:$D$204,"&gt;="&amp;DATE(Parametros!$B$20,1,1),Proyectos!$D$5:$D$204,"&lt;"&amp;DATE(Parametros!$B$20,1+1,1))</f>
        <v/>
      </c>
      <c r="C5" s="18">
        <f>SUMIFS(Proyectos!$U$5:$U$204,Proyectos!$D$5:$D$204,"&gt;="&amp;DATE(Parametros!$B$20,1,1),Proyectos!$D$5:$D$204,"&lt;"&amp;DATE(Parametros!$B$20,1+1,1))</f>
        <v/>
      </c>
      <c r="D5" s="18">
        <f>SUMIFS(Proyectos!$V$5:$V$204,Proyectos!$D$5:$D$204,"&gt;="&amp;DATE(Parametros!$B$20,1,1),Proyectos!$D$5:$D$204,"&lt;"&amp;DATE(Parametros!$B$20,1+1,1))</f>
        <v/>
      </c>
      <c r="E5" s="18">
        <f>SUMIFS(Proyectos!$N$5:$N$204,Proyectos!$D$5:$D$204,"&gt;="&amp;DATE(Parametros!$B$20,1,1),Proyectos!$D$5:$D$204,"&lt;"&amp;DATE(Parametros!$B$20,1+1,1))</f>
        <v/>
      </c>
      <c r="F5" s="18">
        <f>SUMIFS(Gastos!$D$5:$D$204,Gastos!$A$5:$A$204,"&gt;="&amp;DATE(Parametros!$B$20,1,1),Gastos!$A$5:$A$204,"&lt;"&amp;DATE(Parametros!$B$20,1+1,1))</f>
        <v/>
      </c>
      <c r="G5" s="18">
        <f>E5-F5</f>
        <v/>
      </c>
      <c r="H5" s="18">
        <f>G5*Parametros!$C$5</f>
        <v/>
      </c>
      <c r="I5" s="18">
        <f>G5*Parametros!$C$6</f>
        <v/>
      </c>
    </row>
    <row r="6">
      <c r="A6" s="5" t="inlineStr">
        <is>
          <t>Febrero</t>
        </is>
      </c>
      <c r="B6" s="18">
        <f>SUMIFS(Proyectos!$J$5:$J$204,Proyectos!$D$5:$D$204,"&gt;="&amp;DATE(Parametros!$B$20,2,1),Proyectos!$D$5:$D$204,"&lt;"&amp;DATE(Parametros!$B$20,2+1,1))</f>
        <v/>
      </c>
      <c r="C6" s="18">
        <f>SUMIFS(Proyectos!$U$5:$U$204,Proyectos!$D$5:$D$204,"&gt;="&amp;DATE(Parametros!$B$20,2,1),Proyectos!$D$5:$D$204,"&lt;"&amp;DATE(Parametros!$B$20,2+1,1))</f>
        <v/>
      </c>
      <c r="D6" s="18">
        <f>SUMIFS(Proyectos!$V$5:$V$204,Proyectos!$D$5:$D$204,"&gt;="&amp;DATE(Parametros!$B$20,2,1),Proyectos!$D$5:$D$204,"&lt;"&amp;DATE(Parametros!$B$20,2+1,1))</f>
        <v/>
      </c>
      <c r="E6" s="18">
        <f>SUMIFS(Proyectos!$N$5:$N$204,Proyectos!$D$5:$D$204,"&gt;="&amp;DATE(Parametros!$B$20,2,1),Proyectos!$D$5:$D$204,"&lt;"&amp;DATE(Parametros!$B$20,2+1,1))</f>
        <v/>
      </c>
      <c r="F6" s="18">
        <f>SUMIFS(Gastos!$D$5:$D$204,Gastos!$A$5:$A$204,"&gt;="&amp;DATE(Parametros!$B$20,2,1),Gastos!$A$5:$A$204,"&lt;"&amp;DATE(Parametros!$B$20,2+1,1))</f>
        <v/>
      </c>
      <c r="G6" s="18">
        <f>E6-F6</f>
        <v/>
      </c>
      <c r="H6" s="18">
        <f>G6*Parametros!$C$5</f>
        <v/>
      </c>
      <c r="I6" s="18">
        <f>G6*Parametros!$C$6</f>
        <v/>
      </c>
    </row>
    <row r="7">
      <c r="A7" s="5" t="inlineStr">
        <is>
          <t>Marzo</t>
        </is>
      </c>
      <c r="B7" s="18">
        <f>SUMIFS(Proyectos!$J$5:$J$204,Proyectos!$D$5:$D$204,"&gt;="&amp;DATE(Parametros!$B$20,3,1),Proyectos!$D$5:$D$204,"&lt;"&amp;DATE(Parametros!$B$20,3+1,1))</f>
        <v/>
      </c>
      <c r="C7" s="18">
        <f>SUMIFS(Proyectos!$U$5:$U$204,Proyectos!$D$5:$D$204,"&gt;="&amp;DATE(Parametros!$B$20,3,1),Proyectos!$D$5:$D$204,"&lt;"&amp;DATE(Parametros!$B$20,3+1,1))</f>
        <v/>
      </c>
      <c r="D7" s="18">
        <f>SUMIFS(Proyectos!$V$5:$V$204,Proyectos!$D$5:$D$204,"&gt;="&amp;DATE(Parametros!$B$20,3,1),Proyectos!$D$5:$D$204,"&lt;"&amp;DATE(Parametros!$B$20,3+1,1))</f>
        <v/>
      </c>
      <c r="E7" s="18">
        <f>SUMIFS(Proyectos!$N$5:$N$204,Proyectos!$D$5:$D$204,"&gt;="&amp;DATE(Parametros!$B$20,3,1),Proyectos!$D$5:$D$204,"&lt;"&amp;DATE(Parametros!$B$20,3+1,1))</f>
        <v/>
      </c>
      <c r="F7" s="18">
        <f>SUMIFS(Gastos!$D$5:$D$204,Gastos!$A$5:$A$204,"&gt;="&amp;DATE(Parametros!$B$20,3,1),Gastos!$A$5:$A$204,"&lt;"&amp;DATE(Parametros!$B$20,3+1,1))</f>
        <v/>
      </c>
      <c r="G7" s="18">
        <f>E7-F7</f>
        <v/>
      </c>
      <c r="H7" s="18">
        <f>G7*Parametros!$C$5</f>
        <v/>
      </c>
      <c r="I7" s="18">
        <f>G7*Parametros!$C$6</f>
        <v/>
      </c>
    </row>
    <row r="8">
      <c r="A8" s="5" t="inlineStr">
        <is>
          <t>Abril</t>
        </is>
      </c>
      <c r="B8" s="18">
        <f>SUMIFS(Proyectos!$J$5:$J$204,Proyectos!$D$5:$D$204,"&gt;="&amp;DATE(Parametros!$B$20,4,1),Proyectos!$D$5:$D$204,"&lt;"&amp;DATE(Parametros!$B$20,4+1,1))</f>
        <v/>
      </c>
      <c r="C8" s="18">
        <f>SUMIFS(Proyectos!$U$5:$U$204,Proyectos!$D$5:$D$204,"&gt;="&amp;DATE(Parametros!$B$20,4,1),Proyectos!$D$5:$D$204,"&lt;"&amp;DATE(Parametros!$B$20,4+1,1))</f>
        <v/>
      </c>
      <c r="D8" s="18">
        <f>SUMIFS(Proyectos!$V$5:$V$204,Proyectos!$D$5:$D$204,"&gt;="&amp;DATE(Parametros!$B$20,4,1),Proyectos!$D$5:$D$204,"&lt;"&amp;DATE(Parametros!$B$20,4+1,1))</f>
        <v/>
      </c>
      <c r="E8" s="18">
        <f>SUMIFS(Proyectos!$N$5:$N$204,Proyectos!$D$5:$D$204,"&gt;="&amp;DATE(Parametros!$B$20,4,1),Proyectos!$D$5:$D$204,"&lt;"&amp;DATE(Parametros!$B$20,4+1,1))</f>
        <v/>
      </c>
      <c r="F8" s="18">
        <f>SUMIFS(Gastos!$D$5:$D$204,Gastos!$A$5:$A$204,"&gt;="&amp;DATE(Parametros!$B$20,4,1),Gastos!$A$5:$A$204,"&lt;"&amp;DATE(Parametros!$B$20,4+1,1))</f>
        <v/>
      </c>
      <c r="G8" s="18">
        <f>E8-F8</f>
        <v/>
      </c>
      <c r="H8" s="18">
        <f>G8*Parametros!$C$5</f>
        <v/>
      </c>
      <c r="I8" s="18">
        <f>G8*Parametros!$C$6</f>
        <v/>
      </c>
    </row>
    <row r="9">
      <c r="A9" s="5" t="inlineStr">
        <is>
          <t>Mayo</t>
        </is>
      </c>
      <c r="B9" s="18">
        <f>SUMIFS(Proyectos!$J$5:$J$204,Proyectos!$D$5:$D$204,"&gt;="&amp;DATE(Parametros!$B$20,5,1),Proyectos!$D$5:$D$204,"&lt;"&amp;DATE(Parametros!$B$20,5+1,1))</f>
        <v/>
      </c>
      <c r="C9" s="18">
        <f>SUMIFS(Proyectos!$U$5:$U$204,Proyectos!$D$5:$D$204,"&gt;="&amp;DATE(Parametros!$B$20,5,1),Proyectos!$D$5:$D$204,"&lt;"&amp;DATE(Parametros!$B$20,5+1,1))</f>
        <v/>
      </c>
      <c r="D9" s="18">
        <f>SUMIFS(Proyectos!$V$5:$V$204,Proyectos!$D$5:$D$204,"&gt;="&amp;DATE(Parametros!$B$20,5,1),Proyectos!$D$5:$D$204,"&lt;"&amp;DATE(Parametros!$B$20,5+1,1))</f>
        <v/>
      </c>
      <c r="E9" s="18">
        <f>SUMIFS(Proyectos!$N$5:$N$204,Proyectos!$D$5:$D$204,"&gt;="&amp;DATE(Parametros!$B$20,5,1),Proyectos!$D$5:$D$204,"&lt;"&amp;DATE(Parametros!$B$20,5+1,1))</f>
        <v/>
      </c>
      <c r="F9" s="18">
        <f>SUMIFS(Gastos!$D$5:$D$204,Gastos!$A$5:$A$204,"&gt;="&amp;DATE(Parametros!$B$20,5,1),Gastos!$A$5:$A$204,"&lt;"&amp;DATE(Parametros!$B$20,5+1,1))</f>
        <v/>
      </c>
      <c r="G9" s="18">
        <f>E9-F9</f>
        <v/>
      </c>
      <c r="H9" s="18">
        <f>G9*Parametros!$C$5</f>
        <v/>
      </c>
      <c r="I9" s="18">
        <f>G9*Parametros!$C$6</f>
        <v/>
      </c>
    </row>
    <row r="10">
      <c r="A10" s="5" t="inlineStr">
        <is>
          <t>Junio</t>
        </is>
      </c>
      <c r="B10" s="18">
        <f>SUMIFS(Proyectos!$J$5:$J$204,Proyectos!$D$5:$D$204,"&gt;="&amp;DATE(Parametros!$B$20,6,1),Proyectos!$D$5:$D$204,"&lt;"&amp;DATE(Parametros!$B$20,6+1,1))</f>
        <v/>
      </c>
      <c r="C10" s="18">
        <f>SUMIFS(Proyectos!$U$5:$U$204,Proyectos!$D$5:$D$204,"&gt;="&amp;DATE(Parametros!$B$20,6,1),Proyectos!$D$5:$D$204,"&lt;"&amp;DATE(Parametros!$B$20,6+1,1))</f>
        <v/>
      </c>
      <c r="D10" s="18">
        <f>SUMIFS(Proyectos!$V$5:$V$204,Proyectos!$D$5:$D$204,"&gt;="&amp;DATE(Parametros!$B$20,6,1),Proyectos!$D$5:$D$204,"&lt;"&amp;DATE(Parametros!$B$20,6+1,1))</f>
        <v/>
      </c>
      <c r="E10" s="18">
        <f>SUMIFS(Proyectos!$N$5:$N$204,Proyectos!$D$5:$D$204,"&gt;="&amp;DATE(Parametros!$B$20,6,1),Proyectos!$D$5:$D$204,"&lt;"&amp;DATE(Parametros!$B$20,6+1,1))</f>
        <v/>
      </c>
      <c r="F10" s="18">
        <f>SUMIFS(Gastos!$D$5:$D$204,Gastos!$A$5:$A$204,"&gt;="&amp;DATE(Parametros!$B$20,6,1),Gastos!$A$5:$A$204,"&lt;"&amp;DATE(Parametros!$B$20,6+1,1))</f>
        <v/>
      </c>
      <c r="G10" s="18">
        <f>E10-F10</f>
        <v/>
      </c>
      <c r="H10" s="18">
        <f>G10*Parametros!$C$5</f>
        <v/>
      </c>
      <c r="I10" s="18">
        <f>G10*Parametros!$C$6</f>
        <v/>
      </c>
    </row>
    <row r="11">
      <c r="A11" s="5" t="inlineStr">
        <is>
          <t>Julio</t>
        </is>
      </c>
      <c r="B11" s="18">
        <f>SUMIFS(Proyectos!$J$5:$J$204,Proyectos!$D$5:$D$204,"&gt;="&amp;DATE(Parametros!$B$20,7,1),Proyectos!$D$5:$D$204,"&lt;"&amp;DATE(Parametros!$B$20,7+1,1))</f>
        <v/>
      </c>
      <c r="C11" s="18">
        <f>SUMIFS(Proyectos!$U$5:$U$204,Proyectos!$D$5:$D$204,"&gt;="&amp;DATE(Parametros!$B$20,7,1),Proyectos!$D$5:$D$204,"&lt;"&amp;DATE(Parametros!$B$20,7+1,1))</f>
        <v/>
      </c>
      <c r="D11" s="18">
        <f>SUMIFS(Proyectos!$V$5:$V$204,Proyectos!$D$5:$D$204,"&gt;="&amp;DATE(Parametros!$B$20,7,1),Proyectos!$D$5:$D$204,"&lt;"&amp;DATE(Parametros!$B$20,7+1,1))</f>
        <v/>
      </c>
      <c r="E11" s="18">
        <f>SUMIFS(Proyectos!$N$5:$N$204,Proyectos!$D$5:$D$204,"&gt;="&amp;DATE(Parametros!$B$20,7,1),Proyectos!$D$5:$D$204,"&lt;"&amp;DATE(Parametros!$B$20,7+1,1))</f>
        <v/>
      </c>
      <c r="F11" s="18">
        <f>SUMIFS(Gastos!$D$5:$D$204,Gastos!$A$5:$A$204,"&gt;="&amp;DATE(Parametros!$B$20,7,1),Gastos!$A$5:$A$204,"&lt;"&amp;DATE(Parametros!$B$20,7+1,1))</f>
        <v/>
      </c>
      <c r="G11" s="18">
        <f>E11-F11</f>
        <v/>
      </c>
      <c r="H11" s="18">
        <f>G11*Parametros!$C$5</f>
        <v/>
      </c>
      <c r="I11" s="18">
        <f>G11*Parametros!$C$6</f>
        <v/>
      </c>
    </row>
    <row r="12">
      <c r="A12" s="5" t="inlineStr">
        <is>
          <t>Agosto</t>
        </is>
      </c>
      <c r="B12" s="18">
        <f>SUMIFS(Proyectos!$J$5:$J$204,Proyectos!$D$5:$D$204,"&gt;="&amp;DATE(Parametros!$B$20,8,1),Proyectos!$D$5:$D$204,"&lt;"&amp;DATE(Parametros!$B$20,8+1,1))</f>
        <v/>
      </c>
      <c r="C12" s="18">
        <f>SUMIFS(Proyectos!$U$5:$U$204,Proyectos!$D$5:$D$204,"&gt;="&amp;DATE(Parametros!$B$20,8,1),Proyectos!$D$5:$D$204,"&lt;"&amp;DATE(Parametros!$B$20,8+1,1))</f>
        <v/>
      </c>
      <c r="D12" s="18">
        <f>SUMIFS(Proyectos!$V$5:$V$204,Proyectos!$D$5:$D$204,"&gt;="&amp;DATE(Parametros!$B$20,8,1),Proyectos!$D$5:$D$204,"&lt;"&amp;DATE(Parametros!$B$20,8+1,1))</f>
        <v/>
      </c>
      <c r="E12" s="18">
        <f>SUMIFS(Proyectos!$N$5:$N$204,Proyectos!$D$5:$D$204,"&gt;="&amp;DATE(Parametros!$B$20,8,1),Proyectos!$D$5:$D$204,"&lt;"&amp;DATE(Parametros!$B$20,8+1,1))</f>
        <v/>
      </c>
      <c r="F12" s="18">
        <f>SUMIFS(Gastos!$D$5:$D$204,Gastos!$A$5:$A$204,"&gt;="&amp;DATE(Parametros!$B$20,8,1),Gastos!$A$5:$A$204,"&lt;"&amp;DATE(Parametros!$B$20,8+1,1))</f>
        <v/>
      </c>
      <c r="G12" s="18">
        <f>E12-F12</f>
        <v/>
      </c>
      <c r="H12" s="18">
        <f>G12*Parametros!$C$5</f>
        <v/>
      </c>
      <c r="I12" s="18">
        <f>G12*Parametros!$C$6</f>
        <v/>
      </c>
    </row>
    <row r="13">
      <c r="A13" s="5" t="inlineStr">
        <is>
          <t>Septiembre</t>
        </is>
      </c>
      <c r="B13" s="18">
        <f>SUMIFS(Proyectos!$J$5:$J$204,Proyectos!$D$5:$D$204,"&gt;="&amp;DATE(Parametros!$B$20,9,1),Proyectos!$D$5:$D$204,"&lt;"&amp;DATE(Parametros!$B$20,9+1,1))</f>
        <v/>
      </c>
      <c r="C13" s="18">
        <f>SUMIFS(Proyectos!$U$5:$U$204,Proyectos!$D$5:$D$204,"&gt;="&amp;DATE(Parametros!$B$20,9,1),Proyectos!$D$5:$D$204,"&lt;"&amp;DATE(Parametros!$B$20,9+1,1))</f>
        <v/>
      </c>
      <c r="D13" s="18">
        <f>SUMIFS(Proyectos!$V$5:$V$204,Proyectos!$D$5:$D$204,"&gt;="&amp;DATE(Parametros!$B$20,9,1),Proyectos!$D$5:$D$204,"&lt;"&amp;DATE(Parametros!$B$20,9+1,1))</f>
        <v/>
      </c>
      <c r="E13" s="18">
        <f>SUMIFS(Proyectos!$N$5:$N$204,Proyectos!$D$5:$D$204,"&gt;="&amp;DATE(Parametros!$B$20,9,1),Proyectos!$D$5:$D$204,"&lt;"&amp;DATE(Parametros!$B$20,9+1,1))</f>
        <v/>
      </c>
      <c r="F13" s="18">
        <f>SUMIFS(Gastos!$D$5:$D$204,Gastos!$A$5:$A$204,"&gt;="&amp;DATE(Parametros!$B$20,9,1),Gastos!$A$5:$A$204,"&lt;"&amp;DATE(Parametros!$B$20,9+1,1))</f>
        <v/>
      </c>
      <c r="G13" s="18">
        <f>E13-F13</f>
        <v/>
      </c>
      <c r="H13" s="18">
        <f>G13*Parametros!$C$5</f>
        <v/>
      </c>
      <c r="I13" s="18">
        <f>G13*Parametros!$C$6</f>
        <v/>
      </c>
    </row>
    <row r="14">
      <c r="A14" s="5" t="inlineStr">
        <is>
          <t>Octubre</t>
        </is>
      </c>
      <c r="B14" s="18">
        <f>SUMIFS(Proyectos!$J$5:$J$204,Proyectos!$D$5:$D$204,"&gt;="&amp;DATE(Parametros!$B$20,10,1),Proyectos!$D$5:$D$204,"&lt;"&amp;DATE(Parametros!$B$20,10+1,1))</f>
        <v/>
      </c>
      <c r="C14" s="18">
        <f>SUMIFS(Proyectos!$U$5:$U$204,Proyectos!$D$5:$D$204,"&gt;="&amp;DATE(Parametros!$B$20,10,1),Proyectos!$D$5:$D$204,"&lt;"&amp;DATE(Parametros!$B$20,10+1,1))</f>
        <v/>
      </c>
      <c r="D14" s="18">
        <f>SUMIFS(Proyectos!$V$5:$V$204,Proyectos!$D$5:$D$204,"&gt;="&amp;DATE(Parametros!$B$20,10,1),Proyectos!$D$5:$D$204,"&lt;"&amp;DATE(Parametros!$B$20,10+1,1))</f>
        <v/>
      </c>
      <c r="E14" s="18">
        <f>SUMIFS(Proyectos!$N$5:$N$204,Proyectos!$D$5:$D$204,"&gt;="&amp;DATE(Parametros!$B$20,10,1),Proyectos!$D$5:$D$204,"&lt;"&amp;DATE(Parametros!$B$20,10+1,1))</f>
        <v/>
      </c>
      <c r="F14" s="18">
        <f>SUMIFS(Gastos!$D$5:$D$204,Gastos!$A$5:$A$204,"&gt;="&amp;DATE(Parametros!$B$20,10,1),Gastos!$A$5:$A$204,"&lt;"&amp;DATE(Parametros!$B$20,10+1,1))</f>
        <v/>
      </c>
      <c r="G14" s="18">
        <f>E14-F14</f>
        <v/>
      </c>
      <c r="H14" s="18">
        <f>G14*Parametros!$C$5</f>
        <v/>
      </c>
      <c r="I14" s="18">
        <f>G14*Parametros!$C$6</f>
        <v/>
      </c>
    </row>
    <row r="15">
      <c r="A15" s="5" t="inlineStr">
        <is>
          <t>Noviembre</t>
        </is>
      </c>
      <c r="B15" s="18">
        <f>SUMIFS(Proyectos!$J$5:$J$204,Proyectos!$D$5:$D$204,"&gt;="&amp;DATE(Parametros!$B$20,11,1),Proyectos!$D$5:$D$204,"&lt;"&amp;DATE(Parametros!$B$20,11+1,1))</f>
        <v/>
      </c>
      <c r="C15" s="18">
        <f>SUMIFS(Proyectos!$U$5:$U$204,Proyectos!$D$5:$D$204,"&gt;="&amp;DATE(Parametros!$B$20,11,1),Proyectos!$D$5:$D$204,"&lt;"&amp;DATE(Parametros!$B$20,11+1,1))</f>
        <v/>
      </c>
      <c r="D15" s="18">
        <f>SUMIFS(Proyectos!$V$5:$V$204,Proyectos!$D$5:$D$204,"&gt;="&amp;DATE(Parametros!$B$20,11,1),Proyectos!$D$5:$D$204,"&lt;"&amp;DATE(Parametros!$B$20,11+1,1))</f>
        <v/>
      </c>
      <c r="E15" s="18">
        <f>SUMIFS(Proyectos!$N$5:$N$204,Proyectos!$D$5:$D$204,"&gt;="&amp;DATE(Parametros!$B$20,11,1),Proyectos!$D$5:$D$204,"&lt;"&amp;DATE(Parametros!$B$20,11+1,1))</f>
        <v/>
      </c>
      <c r="F15" s="18">
        <f>SUMIFS(Gastos!$D$5:$D$204,Gastos!$A$5:$A$204,"&gt;="&amp;DATE(Parametros!$B$20,11,1),Gastos!$A$5:$A$204,"&lt;"&amp;DATE(Parametros!$B$20,11+1,1))</f>
        <v/>
      </c>
      <c r="G15" s="18">
        <f>E15-F15</f>
        <v/>
      </c>
      <c r="H15" s="18">
        <f>G15*Parametros!$C$5</f>
        <v/>
      </c>
      <c r="I15" s="18">
        <f>G15*Parametros!$C$6</f>
        <v/>
      </c>
    </row>
    <row r="16">
      <c r="A16" s="5" t="inlineStr">
        <is>
          <t>Diciembre</t>
        </is>
      </c>
      <c r="B16" s="18">
        <f>SUMIFS(Proyectos!$J$5:$J$204,Proyectos!$D$5:$D$204,"&gt;="&amp;DATE(Parametros!$B$20,12,1),Proyectos!$D$5:$D$204,"&lt;"&amp;DATE(Parametros!$B$20,12+1,1))</f>
        <v/>
      </c>
      <c r="C16" s="18">
        <f>SUMIFS(Proyectos!$U$5:$U$204,Proyectos!$D$5:$D$204,"&gt;="&amp;DATE(Parametros!$B$20,12,1),Proyectos!$D$5:$D$204,"&lt;"&amp;DATE(Parametros!$B$20,12+1,1))</f>
        <v/>
      </c>
      <c r="D16" s="18">
        <f>SUMIFS(Proyectos!$V$5:$V$204,Proyectos!$D$5:$D$204,"&gt;="&amp;DATE(Parametros!$B$20,12,1),Proyectos!$D$5:$D$204,"&lt;"&amp;DATE(Parametros!$B$20,12+1,1))</f>
        <v/>
      </c>
      <c r="E16" s="18">
        <f>SUMIFS(Proyectos!$N$5:$N$204,Proyectos!$D$5:$D$204,"&gt;="&amp;DATE(Parametros!$B$20,12,1),Proyectos!$D$5:$D$204,"&lt;"&amp;DATE(Parametros!$B$20,12+1,1))</f>
        <v/>
      </c>
      <c r="F16" s="18">
        <f>SUMIFS(Gastos!$D$5:$D$204,Gastos!$A$5:$A$204,"&gt;="&amp;DATE(Parametros!$B$20,12,1),Gastos!$A$5:$A$204,"&lt;"&amp;DATE(Parametros!$B$20,12+1,1))</f>
        <v/>
      </c>
      <c r="G16" s="18">
        <f>E16-F16</f>
        <v/>
      </c>
      <c r="H16" s="18">
        <f>G16*Parametros!$C$5</f>
        <v/>
      </c>
      <c r="I16" s="18">
        <f>G16*Parametros!$C$6</f>
        <v/>
      </c>
    </row>
    <row r="17">
      <c r="A17" s="6" t="inlineStr">
        <is>
          <t>TOTAL AÑO</t>
        </is>
      </c>
      <c r="B17" s="19">
        <f>SUM(B5:B16)</f>
        <v/>
      </c>
      <c r="C17" s="19">
        <f>SUM(C5:C16)</f>
        <v/>
      </c>
      <c r="D17" s="19">
        <f>SUM(D5:D16)</f>
        <v/>
      </c>
      <c r="E17" s="19">
        <f>SUM(E5:E16)</f>
        <v/>
      </c>
      <c r="F17" s="19">
        <f>SUM(F5:F16)</f>
        <v/>
      </c>
      <c r="G17" s="19">
        <f>SUM(G5:G16)</f>
        <v/>
      </c>
      <c r="H17" s="19">
        <f>SUM(H5:H16)</f>
        <v/>
      </c>
      <c r="I17" s="19">
        <f>SUM(I5:I16)</f>
        <v/>
      </c>
    </row>
    <row r="18">
      <c r="A18" s="5" t="inlineStr">
        <is>
          <t>Control: ingreso neto = trabajo + fondo</t>
        </is>
      </c>
      <c r="B18" s="5">
        <f>IF(ROUND(B17-C17-D17-E17,2)=0,"OK","Revisar")</f>
        <v/>
      </c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Cierre del año: utilidad de la empresa y dividendos (aproximación)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inlineStr">
        <is>
          <t>Fondo Bouw acumulado del año</t>
        </is>
      </c>
      <c r="B21" s="18">
        <f>E17</f>
        <v/>
      </c>
      <c r="C21" s="5" t="n"/>
      <c r="D21" s="5" t="n"/>
      <c r="E21" s="5" t="n"/>
      <c r="F21" s="5" t="n"/>
      <c r="G21" s="5" t="n"/>
      <c r="H21" s="5" t="n"/>
      <c r="I21" s="5" t="n"/>
    </row>
    <row r="22">
      <c r="A22" s="5" t="inlineStr">
        <is>
          <t>(−) Gastos de la empresa</t>
        </is>
      </c>
      <c r="B22" s="18">
        <f>-F17</f>
        <v/>
      </c>
      <c r="C22" s="5" t="n"/>
      <c r="D22" s="5" t="n"/>
      <c r="E22" s="5" t="n"/>
      <c r="F22" s="5" t="n"/>
      <c r="G22" s="5" t="n"/>
      <c r="H22" s="5" t="n"/>
      <c r="I22" s="5" t="n"/>
    </row>
    <row r="23">
      <c r="A23" s="5" t="inlineStr">
        <is>
          <t>Utilidad antes de participación e impuestos</t>
        </is>
      </c>
      <c r="B23" s="18">
        <f>B21+B22</f>
        <v/>
      </c>
      <c r="C23" s="5" t="n"/>
      <c r="D23" s="5" t="n"/>
      <c r="E23" s="5" t="n"/>
      <c r="F23" s="5" t="n"/>
      <c r="G23" s="5" t="n"/>
      <c r="H23" s="5" t="n"/>
      <c r="I23" s="5" t="n"/>
    </row>
    <row r="24">
      <c r="A24" s="5" t="inlineStr">
        <is>
          <t>(−) Participación de trabajadores</t>
        </is>
      </c>
      <c r="B24" s="18">
        <f>IF(AND(Parametros!B21="Sí",B23&gt;0),-B23*Parametros!B22,0)</f>
        <v/>
      </c>
      <c r="C24" s="5" t="n"/>
      <c r="D24" s="5" t="n"/>
      <c r="E24" s="5" t="n"/>
      <c r="F24" s="5" t="n"/>
      <c r="G24" s="5" t="n"/>
      <c r="H24" s="5" t="n"/>
      <c r="I24" s="5" t="n"/>
    </row>
    <row r="25">
      <c r="A25" s="5" t="inlineStr">
        <is>
          <t>Base del impuesto a la renta</t>
        </is>
      </c>
      <c r="B25" s="18">
        <f>B23+B24</f>
        <v/>
      </c>
      <c r="C25" s="5" t="n"/>
      <c r="D25" s="5" t="n"/>
      <c r="E25" s="5" t="n"/>
      <c r="F25" s="5" t="n"/>
      <c r="G25" s="5" t="n"/>
      <c r="H25" s="5" t="n"/>
      <c r="I25" s="5" t="n"/>
    </row>
    <row r="26">
      <c r="A26" s="5" t="inlineStr">
        <is>
          <t>(−) Impuesto a la renta de la sociedad</t>
        </is>
      </c>
      <c r="B26" s="18">
        <f>IF(B25&gt;0,-B25*Parametros!B23,0)</f>
        <v/>
      </c>
      <c r="C26" s="5" t="n"/>
      <c r="D26" s="5" t="n"/>
      <c r="E26" s="5" t="n"/>
      <c r="F26" s="5" t="n"/>
      <c r="G26" s="5" t="n"/>
      <c r="H26" s="5" t="n"/>
      <c r="I26" s="5" t="n"/>
    </row>
    <row r="27">
      <c r="A27" s="5" t="inlineStr">
        <is>
          <t>Utilidad neta</t>
        </is>
      </c>
      <c r="B27" s="20">
        <f>B25+B26</f>
        <v/>
      </c>
      <c r="C27" s="5" t="n"/>
      <c r="D27" s="5" t="n"/>
      <c r="E27" s="5" t="n"/>
      <c r="F27" s="5" t="n"/>
      <c r="G27" s="5" t="n"/>
      <c r="H27" s="5" t="n"/>
      <c r="I27" s="5" t="n"/>
    </row>
    <row r="28">
      <c r="A28" s="5" t="inlineStr">
        <is>
          <t>(−) Reserva</t>
        </is>
      </c>
      <c r="B28" s="18">
        <f>IF(B27&gt;0,-B27*Parametros!B24,0)</f>
        <v/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inlineStr">
        <is>
          <t>(−) Reinversión acordada</t>
        </is>
      </c>
      <c r="B29" s="18">
        <f>IF(B27&gt;0,-(B27+B28)*Parametros!B25,0)</f>
        <v/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inlineStr">
        <is>
          <t>Dividendos a repartir</t>
        </is>
      </c>
      <c r="B30" s="20">
        <f>MAX(0,B27+B28+B29)</f>
        <v/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6" t="inlineStr">
        <is>
          <t>Por socio (año)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42" customHeight="1">
      <c r="A34" s="17" t="inlineStr">
        <is>
          <t>Concepto</t>
        </is>
      </c>
      <c r="B34" s="17">
        <f>Parametros!B5</f>
        <v/>
      </c>
      <c r="C34" s="17">
        <f>Parametros!B6</f>
        <v/>
      </c>
      <c r="D34" s="17" t="inlineStr"/>
      <c r="E34" s="17" t="inlineStr"/>
      <c r="F34" s="17" t="inlineStr"/>
      <c r="G34" s="17" t="inlineStr"/>
      <c r="H34" s="17" t="inlineStr"/>
      <c r="I34" s="17" t="inlineStr"/>
    </row>
    <row r="35">
      <c r="A35" s="5" t="inlineStr">
        <is>
          <t>Pago por trabajo (origen + líder + ejecución)</t>
        </is>
      </c>
      <c r="B35" s="18">
        <f>C17</f>
        <v/>
      </c>
      <c r="C35" s="18">
        <f>D17</f>
        <v/>
      </c>
      <c r="D35" s="5" t="n"/>
      <c r="E35" s="5" t="n"/>
      <c r="F35" s="5" t="n"/>
      <c r="G35" s="5" t="n"/>
      <c r="H35" s="5" t="n"/>
      <c r="I35" s="5" t="n"/>
    </row>
    <row r="36">
      <c r="A36" s="5" t="inlineStr">
        <is>
          <t>Dividendo bruto (según propiedad)</t>
        </is>
      </c>
      <c r="B36" s="18">
        <f>$B$30*Parametros!C5</f>
        <v/>
      </c>
      <c r="C36" s="18">
        <f>$B$30*Parametros!C6</f>
        <v/>
      </c>
      <c r="D36" s="5" t="n"/>
      <c r="E36" s="5" t="n"/>
      <c r="F36" s="5" t="n"/>
      <c r="G36" s="5" t="n"/>
      <c r="H36" s="5" t="n"/>
      <c r="I36" s="5" t="n"/>
    </row>
    <row r="37">
      <c r="A37" s="5" t="inlineStr">
        <is>
          <t>Retención sobre dividendos</t>
        </is>
      </c>
      <c r="B37" s="18">
        <f>-MAX(0,B36-Parametros!$B$29)*Parametros!$B$26</f>
        <v/>
      </c>
      <c r="C37" s="18">
        <f>-MAX(0,C36-Parametros!$B$29)*Parametros!$B$26</f>
        <v/>
      </c>
      <c r="D37" s="5" t="n"/>
      <c r="E37" s="5" t="n"/>
      <c r="F37" s="5" t="n"/>
      <c r="G37" s="5" t="n"/>
      <c r="H37" s="5" t="n"/>
      <c r="I37" s="5" t="n"/>
    </row>
    <row r="38">
      <c r="A38" s="5" t="inlineStr">
        <is>
          <t>Dividendo neto</t>
        </is>
      </c>
      <c r="B38" s="18">
        <f>B36+B37</f>
        <v/>
      </c>
      <c r="C38" s="18">
        <f>C36+C37</f>
        <v/>
      </c>
      <c r="D38" s="5" t="n"/>
      <c r="E38" s="5" t="n"/>
      <c r="F38" s="5" t="n"/>
      <c r="G38" s="5" t="n"/>
      <c r="H38" s="5" t="n"/>
      <c r="I38" s="5" t="n"/>
    </row>
    <row r="39">
      <c r="A39" s="21" t="inlineStr">
        <is>
          <t>TOTAL que recibe en el año (antes de impuestos personales sobre honorarios)</t>
        </is>
      </c>
      <c r="B39" s="19">
        <f>B35+B38</f>
        <v/>
      </c>
      <c r="C39" s="19">
        <f>C35+C38</f>
        <v/>
      </c>
      <c r="D39" s="5" t="n"/>
      <c r="E39" s="5" t="n"/>
      <c r="F39" s="5" t="n"/>
      <c r="G39" s="5" t="n"/>
      <c r="H39" s="5" t="n"/>
      <c r="I39" s="5" t="n"/>
    </row>
    <row r="40">
      <c r="A40" s="5" t="inlineStr">
        <is>
          <t>% del total recibido por los dos</t>
        </is>
      </c>
      <c r="B40" s="22">
        <f>IF(($B$39+$C$39)=0,0,B39/($B$39+$C$39))</f>
        <v/>
      </c>
      <c r="C40" s="22">
        <f>IF(($B$39+$C$39)=0,0,C39/($B$39+$C$39))</f>
        <v/>
      </c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23" t="inlineStr">
        <is>
          <t>Lectura: la fila 35 premia a quien consigue, lidera y trabaja más. Las filas 36–38 son iguales para los dos porque ambos son dueños.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23" t="inlineStr">
        <is>
          <t>La retención se aplica sobre lo que excede la franja exenta por socio (Parametros B29). Validar con el contador.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9" customWidth="1" min="4" max="4"/>
    <col width="40" customWidth="1" min="5" max="5"/>
    <col width="40" customWidth="1" min="6" max="6"/>
  </cols>
  <sheetData>
    <row r="1">
      <c r="A1" s="4" t="inlineStr">
        <is>
          <t>Registro de horas</t>
        </is>
      </c>
      <c r="B1" s="5" t="n"/>
      <c r="C1" s="5" t="n"/>
      <c r="D1" s="5" t="n"/>
      <c r="E1" s="5" t="n"/>
      <c r="F1" s="5" t="n"/>
    </row>
    <row r="2">
      <c r="A2" s="23" t="inlineStr">
        <is>
          <t>Una fila por bloque de trabajo. El ID de proyecto debe ser igual al de la hoja Proyectos.</t>
        </is>
      </c>
      <c r="B2" s="5" t="n"/>
      <c r="C2" s="5" t="n"/>
      <c r="D2" s="5" t="n"/>
      <c r="E2" s="5" t="n"/>
      <c r="F2" s="5" t="n"/>
    </row>
    <row r="3">
      <c r="A3" s="5" t="n"/>
      <c r="B3" s="5" t="n"/>
      <c r="C3" s="5" t="n"/>
      <c r="D3" s="5" t="n"/>
      <c r="E3" s="5" t="n"/>
      <c r="F3" s="5" t="n"/>
    </row>
    <row r="4" ht="42" customHeight="1">
      <c r="A4" s="17" t="inlineStr">
        <is>
          <t>Fecha</t>
        </is>
      </c>
      <c r="B4" s="17" t="inlineStr">
        <is>
          <t>ID proyecto</t>
        </is>
      </c>
      <c r="C4" s="17" t="inlineStr">
        <is>
          <t>Socio</t>
        </is>
      </c>
      <c r="D4" s="17" t="inlineStr">
        <is>
          <t>Horas</t>
        </is>
      </c>
      <c r="E4" s="17" t="inlineStr">
        <is>
          <t>Tarea</t>
        </is>
      </c>
      <c r="F4" s="17" t="inlineStr">
        <is>
          <t>Nota</t>
        </is>
      </c>
    </row>
    <row r="5">
      <c r="A5" s="24" t="n">
        <v>46301</v>
      </c>
      <c r="B5" s="25" t="inlineStr">
        <is>
          <t>P-001</t>
        </is>
      </c>
      <c r="C5" s="26">
        <f>Parametros!$B$5</f>
        <v/>
      </c>
      <c r="D5" s="27" t="n">
        <v>12</v>
      </c>
      <c r="E5" s="25" t="inlineStr">
        <is>
          <t>Diagnóstico y mapeo de procesos</t>
        </is>
      </c>
      <c r="F5" s="25" t="inlineStr">
        <is>
          <t>EJEMPLO</t>
        </is>
      </c>
    </row>
    <row r="6">
      <c r="A6" s="24" t="n">
        <v>46303</v>
      </c>
      <c r="B6" s="25" t="inlineStr">
        <is>
          <t>P-001</t>
        </is>
      </c>
      <c r="C6" s="26">
        <f>Parametros!$B$6</f>
        <v/>
      </c>
      <c r="D6" s="27" t="n">
        <v>8</v>
      </c>
      <c r="E6" s="25" t="inlineStr">
        <is>
          <t>Revisión de seguridad y respaldos</t>
        </is>
      </c>
      <c r="F6" s="25" t="inlineStr">
        <is>
          <t>EJEMPLO</t>
        </is>
      </c>
    </row>
    <row r="7">
      <c r="A7" s="24" t="n">
        <v>46310</v>
      </c>
      <c r="B7" s="25" t="inlineStr">
        <is>
          <t>P-001</t>
        </is>
      </c>
      <c r="C7" s="26">
        <f>Parametros!$B$5</f>
        <v/>
      </c>
      <c r="D7" s="27" t="n">
        <v>18</v>
      </c>
      <c r="E7" s="25" t="inlineStr">
        <is>
          <t>Rediseño y automatización</t>
        </is>
      </c>
      <c r="F7" s="25" t="inlineStr">
        <is>
          <t>EJEMPLO</t>
        </is>
      </c>
    </row>
    <row r="8">
      <c r="A8" s="24" t="n">
        <v>46315</v>
      </c>
      <c r="B8" s="25" t="inlineStr">
        <is>
          <t>P-001</t>
        </is>
      </c>
      <c r="C8" s="26">
        <f>Parametros!$B$6</f>
        <v/>
      </c>
      <c r="D8" s="27" t="n">
        <v>12</v>
      </c>
      <c r="E8" s="25" t="inlineStr">
        <is>
          <t>Configuración de accesos</t>
        </is>
      </c>
      <c r="F8" s="25" t="inlineStr">
        <is>
          <t>EJEMPLO</t>
        </is>
      </c>
    </row>
    <row r="9">
      <c r="A9" s="24" t="n">
        <v>46330</v>
      </c>
      <c r="B9" s="25" t="inlineStr">
        <is>
          <t>P-002</t>
        </is>
      </c>
      <c r="C9" s="26">
        <f>Parametros!$B$6</f>
        <v/>
      </c>
      <c r="D9" s="27" t="n">
        <v>21</v>
      </c>
      <c r="E9" s="25" t="inlineStr">
        <is>
          <t>Plan de seguridad y continuidad</t>
        </is>
      </c>
      <c r="F9" s="25" t="inlineStr">
        <is>
          <t>EJEMPLO</t>
        </is>
      </c>
    </row>
    <row r="10">
      <c r="A10" s="24" t="n">
        <v>46336</v>
      </c>
      <c r="B10" s="25" t="inlineStr">
        <is>
          <t>P-002</t>
        </is>
      </c>
      <c r="C10" s="26">
        <f>Parametros!$B$5</f>
        <v/>
      </c>
      <c r="D10" s="27" t="n">
        <v>9</v>
      </c>
      <c r="E10" s="25" t="inlineStr">
        <is>
          <t>Procesos de respaldo operativo</t>
        </is>
      </c>
      <c r="F10" s="25" t="inlineStr">
        <is>
          <t>EJEMPLO</t>
        </is>
      </c>
    </row>
    <row r="11">
      <c r="A11" s="5" t="n"/>
      <c r="B11" s="5" t="n"/>
      <c r="C11" s="5" t="n"/>
      <c r="D11" s="5" t="n"/>
      <c r="E11" s="5" t="n"/>
      <c r="F11" s="23" t="inlineStr">
        <is>
          <t>Nota: en las filas de ejemplo el socio viene de Parametros (verde). En sus filas elijan el nombre del desplegable.</t>
        </is>
      </c>
    </row>
    <row r="12">
      <c r="A12" s="28" t="n"/>
      <c r="B12" s="10" t="n"/>
      <c r="C12" s="10" t="n"/>
      <c r="D12" s="29" t="n"/>
      <c r="E12" s="10" t="n"/>
      <c r="F12" s="5" t="n"/>
    </row>
    <row r="13">
      <c r="A13" s="28" t="n"/>
      <c r="B13" s="10" t="n"/>
      <c r="C13" s="10" t="n"/>
      <c r="D13" s="29" t="n"/>
      <c r="E13" s="10" t="n"/>
      <c r="F13" s="5" t="n"/>
    </row>
    <row r="14">
      <c r="A14" s="28" t="n"/>
      <c r="B14" s="10" t="n"/>
      <c r="C14" s="10" t="n"/>
      <c r="D14" s="29" t="n"/>
      <c r="E14" s="10" t="n"/>
      <c r="F14" s="5" t="n"/>
    </row>
    <row r="15">
      <c r="A15" s="28" t="n"/>
      <c r="B15" s="10" t="n"/>
      <c r="C15" s="10" t="n"/>
      <c r="D15" s="29" t="n"/>
      <c r="E15" s="10" t="n"/>
      <c r="F15" s="5" t="n"/>
    </row>
    <row r="16">
      <c r="A16" s="28" t="n"/>
      <c r="B16" s="10" t="n"/>
      <c r="C16" s="10" t="n"/>
      <c r="D16" s="29" t="n"/>
      <c r="E16" s="10" t="n"/>
      <c r="F16" s="5" t="n"/>
    </row>
    <row r="17">
      <c r="A17" s="28" t="n"/>
      <c r="B17" s="10" t="n"/>
      <c r="C17" s="10" t="n"/>
      <c r="D17" s="29" t="n"/>
      <c r="E17" s="10" t="n"/>
      <c r="F17" s="5" t="n"/>
    </row>
    <row r="18">
      <c r="A18" s="28" t="n"/>
      <c r="B18" s="10" t="n"/>
      <c r="C18" s="10" t="n"/>
      <c r="D18" s="29" t="n"/>
      <c r="E18" s="10" t="n"/>
      <c r="F18" s="5" t="n"/>
    </row>
    <row r="19">
      <c r="A19" s="28" t="n"/>
      <c r="B19" s="10" t="n"/>
      <c r="C19" s="10" t="n"/>
      <c r="D19" s="29" t="n"/>
      <c r="E19" s="10" t="n"/>
      <c r="F19" s="5" t="n"/>
    </row>
    <row r="20">
      <c r="A20" s="28" t="n"/>
      <c r="B20" s="10" t="n"/>
      <c r="C20" s="10" t="n"/>
      <c r="D20" s="29" t="n"/>
      <c r="E20" s="10" t="n"/>
      <c r="F20" s="5" t="n"/>
    </row>
    <row r="21">
      <c r="A21" s="28" t="n"/>
      <c r="B21" s="10" t="n"/>
      <c r="C21" s="10" t="n"/>
      <c r="D21" s="29" t="n"/>
      <c r="E21" s="10" t="n"/>
      <c r="F21" s="5" t="n"/>
    </row>
    <row r="22">
      <c r="A22" s="28" t="n"/>
      <c r="B22" s="10" t="n"/>
      <c r="C22" s="10" t="n"/>
      <c r="D22" s="29" t="n"/>
      <c r="E22" s="10" t="n"/>
      <c r="F22" s="5" t="n"/>
    </row>
    <row r="23">
      <c r="A23" s="28" t="n"/>
      <c r="B23" s="10" t="n"/>
      <c r="C23" s="10" t="n"/>
      <c r="D23" s="29" t="n"/>
      <c r="E23" s="10" t="n"/>
      <c r="F23" s="5" t="n"/>
    </row>
    <row r="24">
      <c r="A24" s="28" t="n"/>
      <c r="B24" s="10" t="n"/>
      <c r="C24" s="10" t="n"/>
      <c r="D24" s="29" t="n"/>
      <c r="E24" s="10" t="n"/>
      <c r="F24" s="5" t="n"/>
    </row>
    <row r="25">
      <c r="A25" s="28" t="n"/>
      <c r="B25" s="10" t="n"/>
      <c r="C25" s="10" t="n"/>
      <c r="D25" s="29" t="n"/>
      <c r="E25" s="10" t="n"/>
      <c r="F25" s="5" t="n"/>
    </row>
    <row r="26">
      <c r="A26" s="28" t="n"/>
      <c r="B26" s="10" t="n"/>
      <c r="C26" s="10" t="n"/>
      <c r="D26" s="29" t="n"/>
      <c r="E26" s="10" t="n"/>
      <c r="F26" s="5" t="n"/>
    </row>
    <row r="27">
      <c r="A27" s="28" t="n"/>
      <c r="B27" s="10" t="n"/>
      <c r="C27" s="10" t="n"/>
      <c r="D27" s="29" t="n"/>
      <c r="E27" s="10" t="n"/>
      <c r="F27" s="5" t="n"/>
    </row>
    <row r="28">
      <c r="A28" s="28" t="n"/>
      <c r="B28" s="10" t="n"/>
      <c r="C28" s="10" t="n"/>
      <c r="D28" s="29" t="n"/>
      <c r="E28" s="10" t="n"/>
      <c r="F28" s="5" t="n"/>
    </row>
    <row r="29">
      <c r="A29" s="28" t="n"/>
      <c r="B29" s="10" t="n"/>
      <c r="C29" s="10" t="n"/>
      <c r="D29" s="29" t="n"/>
      <c r="E29" s="10" t="n"/>
      <c r="F29" s="5" t="n"/>
    </row>
    <row r="30">
      <c r="A30" s="28" t="n"/>
      <c r="B30" s="10" t="n"/>
      <c r="C30" s="10" t="n"/>
      <c r="D30" s="29" t="n"/>
      <c r="E30" s="10" t="n"/>
      <c r="F30" s="5" t="n"/>
    </row>
    <row r="31">
      <c r="A31" s="28" t="n"/>
      <c r="B31" s="10" t="n"/>
      <c r="C31" s="10" t="n"/>
      <c r="D31" s="29" t="n"/>
      <c r="E31" s="10" t="n"/>
      <c r="F31" s="5" t="n"/>
    </row>
    <row r="32">
      <c r="A32" s="28" t="n"/>
      <c r="B32" s="10" t="n"/>
      <c r="C32" s="10" t="n"/>
      <c r="D32" s="29" t="n"/>
      <c r="E32" s="10" t="n"/>
      <c r="F32" s="5" t="n"/>
    </row>
    <row r="33">
      <c r="A33" s="28" t="n"/>
      <c r="B33" s="10" t="n"/>
      <c r="C33" s="10" t="n"/>
      <c r="D33" s="29" t="n"/>
      <c r="E33" s="10" t="n"/>
      <c r="F33" s="5" t="n"/>
    </row>
    <row r="34">
      <c r="A34" s="28" t="n"/>
      <c r="B34" s="10" t="n"/>
      <c r="C34" s="10" t="n"/>
      <c r="D34" s="29" t="n"/>
      <c r="E34" s="10" t="n"/>
      <c r="F34" s="5" t="n"/>
    </row>
    <row r="35">
      <c r="A35" s="28" t="n"/>
      <c r="B35" s="10" t="n"/>
      <c r="C35" s="10" t="n"/>
      <c r="D35" s="29" t="n"/>
      <c r="E35" s="10" t="n"/>
      <c r="F35" s="5" t="n"/>
    </row>
    <row r="36">
      <c r="A36" s="28" t="n"/>
      <c r="B36" s="10" t="n"/>
      <c r="C36" s="10" t="n"/>
      <c r="D36" s="29" t="n"/>
      <c r="E36" s="10" t="n"/>
      <c r="F36" s="5" t="n"/>
    </row>
    <row r="37">
      <c r="A37" s="28" t="n"/>
      <c r="B37" s="10" t="n"/>
      <c r="C37" s="10" t="n"/>
      <c r="D37" s="29" t="n"/>
      <c r="E37" s="10" t="n"/>
      <c r="F37" s="5" t="n"/>
    </row>
    <row r="38">
      <c r="A38" s="28" t="n"/>
      <c r="B38" s="10" t="n"/>
      <c r="C38" s="10" t="n"/>
      <c r="D38" s="29" t="n"/>
      <c r="E38" s="10" t="n"/>
      <c r="F38" s="5" t="n"/>
    </row>
    <row r="39">
      <c r="A39" s="28" t="n"/>
      <c r="B39" s="10" t="n"/>
      <c r="C39" s="10" t="n"/>
      <c r="D39" s="29" t="n"/>
      <c r="E39" s="10" t="n"/>
      <c r="F39" s="5" t="n"/>
    </row>
    <row r="40">
      <c r="A40" s="28" t="n"/>
      <c r="B40" s="10" t="n"/>
      <c r="C40" s="10" t="n"/>
      <c r="D40" s="29" t="n"/>
      <c r="E40" s="10" t="n"/>
      <c r="F40" s="5" t="n"/>
    </row>
    <row r="41">
      <c r="A41" s="28" t="n"/>
      <c r="B41" s="10" t="n"/>
      <c r="C41" s="10" t="n"/>
      <c r="D41" s="29" t="n"/>
      <c r="E41" s="10" t="n"/>
      <c r="F41" s="5" t="n"/>
    </row>
    <row r="42">
      <c r="A42" s="28" t="n"/>
      <c r="B42" s="10" t="n"/>
      <c r="C42" s="10" t="n"/>
      <c r="D42" s="29" t="n"/>
      <c r="E42" s="10" t="n"/>
      <c r="F42" s="5" t="n"/>
    </row>
    <row r="43">
      <c r="A43" s="28" t="n"/>
      <c r="B43" s="10" t="n"/>
      <c r="C43" s="10" t="n"/>
      <c r="D43" s="29" t="n"/>
      <c r="E43" s="10" t="n"/>
      <c r="F43" s="5" t="n"/>
    </row>
    <row r="44">
      <c r="A44" s="28" t="n"/>
      <c r="B44" s="10" t="n"/>
      <c r="C44" s="10" t="n"/>
      <c r="D44" s="29" t="n"/>
      <c r="E44" s="10" t="n"/>
      <c r="F44" s="5" t="n"/>
    </row>
    <row r="45">
      <c r="A45" s="28" t="n"/>
      <c r="B45" s="10" t="n"/>
      <c r="C45" s="10" t="n"/>
      <c r="D45" s="29" t="n"/>
      <c r="E45" s="10" t="n"/>
      <c r="F45" s="5" t="n"/>
    </row>
    <row r="46">
      <c r="A46" s="28" t="n"/>
      <c r="B46" s="10" t="n"/>
      <c r="C46" s="10" t="n"/>
      <c r="D46" s="29" t="n"/>
      <c r="E46" s="10" t="n"/>
      <c r="F46" s="5" t="n"/>
    </row>
    <row r="47">
      <c r="A47" s="28" t="n"/>
      <c r="B47" s="10" t="n"/>
      <c r="C47" s="10" t="n"/>
      <c r="D47" s="29" t="n"/>
      <c r="E47" s="10" t="n"/>
      <c r="F47" s="5" t="n"/>
    </row>
    <row r="48">
      <c r="A48" s="28" t="n"/>
      <c r="B48" s="10" t="n"/>
      <c r="C48" s="10" t="n"/>
      <c r="D48" s="29" t="n"/>
      <c r="E48" s="10" t="n"/>
      <c r="F48" s="5" t="n"/>
    </row>
    <row r="49">
      <c r="A49" s="28" t="n"/>
      <c r="B49" s="10" t="n"/>
      <c r="C49" s="10" t="n"/>
      <c r="D49" s="29" t="n"/>
      <c r="E49" s="10" t="n"/>
      <c r="F49" s="5" t="n"/>
    </row>
    <row r="50">
      <c r="A50" s="28" t="n"/>
      <c r="B50" s="10" t="n"/>
      <c r="C50" s="10" t="n"/>
      <c r="D50" s="29" t="n"/>
      <c r="E50" s="10" t="n"/>
      <c r="F50" s="5" t="n"/>
    </row>
    <row r="51">
      <c r="A51" s="28" t="n"/>
      <c r="B51" s="10" t="n"/>
      <c r="C51" s="10" t="n"/>
      <c r="D51" s="29" t="n"/>
      <c r="E51" s="10" t="n"/>
      <c r="F51" s="5" t="n"/>
    </row>
    <row r="52">
      <c r="A52" s="28" t="n"/>
      <c r="B52" s="10" t="n"/>
      <c r="C52" s="10" t="n"/>
      <c r="D52" s="29" t="n"/>
      <c r="E52" s="10" t="n"/>
      <c r="F52" s="5" t="n"/>
    </row>
    <row r="53">
      <c r="A53" s="28" t="n"/>
      <c r="B53" s="10" t="n"/>
      <c r="C53" s="10" t="n"/>
      <c r="D53" s="29" t="n"/>
      <c r="E53" s="10" t="n"/>
      <c r="F53" s="5" t="n"/>
    </row>
    <row r="54">
      <c r="A54" s="28" t="n"/>
      <c r="B54" s="10" t="n"/>
      <c r="C54" s="10" t="n"/>
      <c r="D54" s="29" t="n"/>
      <c r="E54" s="10" t="n"/>
      <c r="F54" s="5" t="n"/>
    </row>
    <row r="55">
      <c r="A55" s="28" t="n"/>
      <c r="B55" s="10" t="n"/>
      <c r="C55" s="10" t="n"/>
      <c r="D55" s="29" t="n"/>
      <c r="E55" s="10" t="n"/>
      <c r="F55" s="5" t="n"/>
    </row>
    <row r="56">
      <c r="A56" s="28" t="n"/>
      <c r="B56" s="10" t="n"/>
      <c r="C56" s="10" t="n"/>
      <c r="D56" s="29" t="n"/>
      <c r="E56" s="10" t="n"/>
      <c r="F56" s="5" t="n"/>
    </row>
    <row r="57">
      <c r="A57" s="28" t="n"/>
      <c r="B57" s="10" t="n"/>
      <c r="C57" s="10" t="n"/>
      <c r="D57" s="29" t="n"/>
      <c r="E57" s="10" t="n"/>
      <c r="F57" s="5" t="n"/>
    </row>
    <row r="58">
      <c r="A58" s="28" t="n"/>
      <c r="B58" s="10" t="n"/>
      <c r="C58" s="10" t="n"/>
      <c r="D58" s="29" t="n"/>
      <c r="E58" s="10" t="n"/>
      <c r="F58" s="5" t="n"/>
    </row>
    <row r="59">
      <c r="A59" s="28" t="n"/>
      <c r="B59" s="10" t="n"/>
      <c r="C59" s="10" t="n"/>
      <c r="D59" s="29" t="n"/>
      <c r="E59" s="10" t="n"/>
      <c r="F59" s="5" t="n"/>
    </row>
    <row r="60">
      <c r="A60" s="28" t="n"/>
      <c r="B60" s="10" t="n"/>
      <c r="C60" s="10" t="n"/>
      <c r="D60" s="29" t="n"/>
      <c r="E60" s="10" t="n"/>
      <c r="F60" s="5" t="n"/>
    </row>
    <row r="61">
      <c r="A61" s="28" t="n"/>
      <c r="B61" s="10" t="n"/>
      <c r="C61" s="10" t="n"/>
      <c r="D61" s="29" t="n"/>
      <c r="E61" s="10" t="n"/>
      <c r="F61" s="5" t="n"/>
    </row>
    <row r="62">
      <c r="A62" s="28" t="n"/>
      <c r="B62" s="10" t="n"/>
      <c r="C62" s="10" t="n"/>
      <c r="D62" s="29" t="n"/>
      <c r="E62" s="10" t="n"/>
      <c r="F62" s="5" t="n"/>
    </row>
    <row r="63">
      <c r="A63" s="28" t="n"/>
      <c r="B63" s="10" t="n"/>
      <c r="C63" s="10" t="n"/>
      <c r="D63" s="29" t="n"/>
      <c r="E63" s="10" t="n"/>
      <c r="F63" s="5" t="n"/>
    </row>
    <row r="64">
      <c r="A64" s="28" t="n"/>
      <c r="B64" s="10" t="n"/>
      <c r="C64" s="10" t="n"/>
      <c r="D64" s="29" t="n"/>
      <c r="E64" s="10" t="n"/>
      <c r="F64" s="5" t="n"/>
    </row>
    <row r="65">
      <c r="A65" s="28" t="n"/>
      <c r="B65" s="10" t="n"/>
      <c r="C65" s="10" t="n"/>
      <c r="D65" s="29" t="n"/>
      <c r="E65" s="10" t="n"/>
      <c r="F65" s="5" t="n"/>
    </row>
    <row r="66">
      <c r="A66" s="28" t="n"/>
      <c r="B66" s="10" t="n"/>
      <c r="C66" s="10" t="n"/>
      <c r="D66" s="29" t="n"/>
      <c r="E66" s="10" t="n"/>
      <c r="F66" s="5" t="n"/>
    </row>
    <row r="67">
      <c r="A67" s="28" t="n"/>
      <c r="B67" s="10" t="n"/>
      <c r="C67" s="10" t="n"/>
      <c r="D67" s="29" t="n"/>
      <c r="E67" s="10" t="n"/>
      <c r="F67" s="5" t="n"/>
    </row>
    <row r="68">
      <c r="A68" s="28" t="n"/>
      <c r="B68" s="10" t="n"/>
      <c r="C68" s="10" t="n"/>
      <c r="D68" s="29" t="n"/>
      <c r="E68" s="10" t="n"/>
      <c r="F68" s="5" t="n"/>
    </row>
    <row r="69">
      <c r="A69" s="28" t="n"/>
      <c r="B69" s="10" t="n"/>
      <c r="C69" s="10" t="n"/>
      <c r="D69" s="29" t="n"/>
      <c r="E69" s="10" t="n"/>
      <c r="F69" s="5" t="n"/>
    </row>
    <row r="70">
      <c r="A70" s="28" t="n"/>
      <c r="B70" s="10" t="n"/>
      <c r="C70" s="10" t="n"/>
      <c r="D70" s="29" t="n"/>
      <c r="E70" s="10" t="n"/>
      <c r="F70" s="5" t="n"/>
    </row>
    <row r="71">
      <c r="A71" s="28" t="n"/>
      <c r="B71" s="10" t="n"/>
      <c r="C71" s="10" t="n"/>
      <c r="D71" s="29" t="n"/>
      <c r="E71" s="10" t="n"/>
      <c r="F71" s="5" t="n"/>
    </row>
    <row r="72">
      <c r="A72" s="28" t="n"/>
      <c r="B72" s="10" t="n"/>
      <c r="C72" s="10" t="n"/>
      <c r="D72" s="29" t="n"/>
      <c r="E72" s="10" t="n"/>
      <c r="F72" s="5" t="n"/>
    </row>
    <row r="73">
      <c r="A73" s="28" t="n"/>
      <c r="B73" s="10" t="n"/>
      <c r="C73" s="10" t="n"/>
      <c r="D73" s="29" t="n"/>
      <c r="E73" s="10" t="n"/>
      <c r="F73" s="5" t="n"/>
    </row>
    <row r="74">
      <c r="A74" s="28" t="n"/>
      <c r="B74" s="10" t="n"/>
      <c r="C74" s="10" t="n"/>
      <c r="D74" s="29" t="n"/>
      <c r="E74" s="10" t="n"/>
      <c r="F74" s="5" t="n"/>
    </row>
    <row r="75">
      <c r="A75" s="28" t="n"/>
      <c r="B75" s="10" t="n"/>
      <c r="C75" s="10" t="n"/>
      <c r="D75" s="29" t="n"/>
      <c r="E75" s="10" t="n"/>
      <c r="F75" s="5" t="n"/>
    </row>
    <row r="76">
      <c r="A76" s="28" t="n"/>
      <c r="B76" s="10" t="n"/>
      <c r="C76" s="10" t="n"/>
      <c r="D76" s="29" t="n"/>
      <c r="E76" s="10" t="n"/>
      <c r="F76" s="5" t="n"/>
    </row>
    <row r="77">
      <c r="A77" s="28" t="n"/>
      <c r="B77" s="10" t="n"/>
      <c r="C77" s="10" t="n"/>
      <c r="D77" s="29" t="n"/>
      <c r="E77" s="10" t="n"/>
      <c r="F77" s="5" t="n"/>
    </row>
    <row r="78">
      <c r="A78" s="28" t="n"/>
      <c r="B78" s="10" t="n"/>
      <c r="C78" s="10" t="n"/>
      <c r="D78" s="29" t="n"/>
      <c r="E78" s="10" t="n"/>
      <c r="F78" s="5" t="n"/>
    </row>
    <row r="79">
      <c r="A79" s="28" t="n"/>
      <c r="B79" s="10" t="n"/>
      <c r="C79" s="10" t="n"/>
      <c r="D79" s="29" t="n"/>
      <c r="E79" s="10" t="n"/>
      <c r="F79" s="5" t="n"/>
    </row>
    <row r="80">
      <c r="A80" s="28" t="n"/>
      <c r="B80" s="10" t="n"/>
      <c r="C80" s="10" t="n"/>
      <c r="D80" s="29" t="n"/>
      <c r="E80" s="10" t="n"/>
      <c r="F80" s="5" t="n"/>
    </row>
    <row r="81">
      <c r="A81" s="28" t="n"/>
      <c r="B81" s="10" t="n"/>
      <c r="C81" s="10" t="n"/>
      <c r="D81" s="29" t="n"/>
      <c r="E81" s="10" t="n"/>
      <c r="F81" s="5" t="n"/>
    </row>
    <row r="82">
      <c r="A82" s="28" t="n"/>
      <c r="B82" s="10" t="n"/>
      <c r="C82" s="10" t="n"/>
      <c r="D82" s="29" t="n"/>
      <c r="E82" s="10" t="n"/>
      <c r="F82" s="5" t="n"/>
    </row>
    <row r="83">
      <c r="A83" s="28" t="n"/>
      <c r="B83" s="10" t="n"/>
      <c r="C83" s="10" t="n"/>
      <c r="D83" s="29" t="n"/>
      <c r="E83" s="10" t="n"/>
      <c r="F83" s="5" t="n"/>
    </row>
    <row r="84">
      <c r="A84" s="28" t="n"/>
      <c r="B84" s="10" t="n"/>
      <c r="C84" s="10" t="n"/>
      <c r="D84" s="29" t="n"/>
      <c r="E84" s="10" t="n"/>
      <c r="F84" s="5" t="n"/>
    </row>
    <row r="85">
      <c r="A85" s="28" t="n"/>
      <c r="B85" s="10" t="n"/>
      <c r="C85" s="10" t="n"/>
      <c r="D85" s="29" t="n"/>
      <c r="E85" s="10" t="n"/>
      <c r="F85" s="5" t="n"/>
    </row>
    <row r="86">
      <c r="A86" s="28" t="n"/>
      <c r="B86" s="10" t="n"/>
      <c r="C86" s="10" t="n"/>
      <c r="D86" s="29" t="n"/>
      <c r="E86" s="10" t="n"/>
      <c r="F86" s="5" t="n"/>
    </row>
    <row r="87">
      <c r="A87" s="28" t="n"/>
      <c r="B87" s="10" t="n"/>
      <c r="C87" s="10" t="n"/>
      <c r="D87" s="29" t="n"/>
      <c r="E87" s="10" t="n"/>
      <c r="F87" s="5" t="n"/>
    </row>
    <row r="88">
      <c r="A88" s="28" t="n"/>
      <c r="B88" s="10" t="n"/>
      <c r="C88" s="10" t="n"/>
      <c r="D88" s="29" t="n"/>
      <c r="E88" s="10" t="n"/>
      <c r="F88" s="5" t="n"/>
    </row>
    <row r="89">
      <c r="A89" s="28" t="n"/>
      <c r="B89" s="10" t="n"/>
      <c r="C89" s="10" t="n"/>
      <c r="D89" s="29" t="n"/>
      <c r="E89" s="10" t="n"/>
      <c r="F89" s="5" t="n"/>
    </row>
    <row r="90">
      <c r="A90" s="28" t="n"/>
      <c r="B90" s="10" t="n"/>
      <c r="C90" s="10" t="n"/>
      <c r="D90" s="29" t="n"/>
      <c r="E90" s="10" t="n"/>
      <c r="F90" s="5" t="n"/>
    </row>
    <row r="91">
      <c r="A91" s="28" t="n"/>
      <c r="B91" s="10" t="n"/>
      <c r="C91" s="10" t="n"/>
      <c r="D91" s="29" t="n"/>
      <c r="E91" s="10" t="n"/>
      <c r="F91" s="5" t="n"/>
    </row>
    <row r="92">
      <c r="A92" s="28" t="n"/>
      <c r="B92" s="10" t="n"/>
      <c r="C92" s="10" t="n"/>
      <c r="D92" s="29" t="n"/>
      <c r="E92" s="10" t="n"/>
      <c r="F92" s="5" t="n"/>
    </row>
    <row r="93">
      <c r="A93" s="28" t="n"/>
      <c r="B93" s="10" t="n"/>
      <c r="C93" s="10" t="n"/>
      <c r="D93" s="29" t="n"/>
      <c r="E93" s="10" t="n"/>
      <c r="F93" s="5" t="n"/>
    </row>
    <row r="94">
      <c r="A94" s="28" t="n"/>
      <c r="B94" s="10" t="n"/>
      <c r="C94" s="10" t="n"/>
      <c r="D94" s="29" t="n"/>
      <c r="E94" s="10" t="n"/>
      <c r="F94" s="5" t="n"/>
    </row>
    <row r="95">
      <c r="A95" s="28" t="n"/>
      <c r="B95" s="10" t="n"/>
      <c r="C95" s="10" t="n"/>
      <c r="D95" s="29" t="n"/>
      <c r="E95" s="10" t="n"/>
      <c r="F95" s="5" t="n"/>
    </row>
    <row r="96">
      <c r="A96" s="28" t="n"/>
      <c r="B96" s="10" t="n"/>
      <c r="C96" s="10" t="n"/>
      <c r="D96" s="29" t="n"/>
      <c r="E96" s="10" t="n"/>
      <c r="F96" s="5" t="n"/>
    </row>
    <row r="97">
      <c r="A97" s="28" t="n"/>
      <c r="B97" s="10" t="n"/>
      <c r="C97" s="10" t="n"/>
      <c r="D97" s="29" t="n"/>
      <c r="E97" s="10" t="n"/>
      <c r="F97" s="5" t="n"/>
    </row>
    <row r="98">
      <c r="A98" s="28" t="n"/>
      <c r="B98" s="10" t="n"/>
      <c r="C98" s="10" t="n"/>
      <c r="D98" s="29" t="n"/>
      <c r="E98" s="10" t="n"/>
      <c r="F98" s="5" t="n"/>
    </row>
    <row r="99">
      <c r="A99" s="28" t="n"/>
      <c r="B99" s="10" t="n"/>
      <c r="C99" s="10" t="n"/>
      <c r="D99" s="29" t="n"/>
      <c r="E99" s="10" t="n"/>
      <c r="F99" s="5" t="n"/>
    </row>
    <row r="100">
      <c r="A100" s="28" t="n"/>
      <c r="B100" s="10" t="n"/>
      <c r="C100" s="10" t="n"/>
      <c r="D100" s="29" t="n"/>
      <c r="E100" s="10" t="n"/>
      <c r="F100" s="5" t="n"/>
    </row>
    <row r="101">
      <c r="A101" s="28" t="n"/>
      <c r="B101" s="10" t="n"/>
      <c r="C101" s="10" t="n"/>
      <c r="D101" s="29" t="n"/>
      <c r="E101" s="10" t="n"/>
      <c r="F101" s="5" t="n"/>
    </row>
    <row r="102">
      <c r="A102" s="28" t="n"/>
      <c r="B102" s="10" t="n"/>
      <c r="C102" s="10" t="n"/>
      <c r="D102" s="29" t="n"/>
      <c r="E102" s="10" t="n"/>
      <c r="F102" s="5" t="n"/>
    </row>
    <row r="103">
      <c r="A103" s="28" t="n"/>
      <c r="B103" s="10" t="n"/>
      <c r="C103" s="10" t="n"/>
      <c r="D103" s="29" t="n"/>
      <c r="E103" s="10" t="n"/>
      <c r="F103" s="5" t="n"/>
    </row>
    <row r="104">
      <c r="A104" s="28" t="n"/>
      <c r="B104" s="10" t="n"/>
      <c r="C104" s="10" t="n"/>
      <c r="D104" s="29" t="n"/>
      <c r="E104" s="10" t="n"/>
      <c r="F104" s="5" t="n"/>
    </row>
    <row r="105">
      <c r="A105" s="28" t="n"/>
      <c r="B105" s="10" t="n"/>
      <c r="C105" s="10" t="n"/>
      <c r="D105" s="29" t="n"/>
      <c r="E105" s="10" t="n"/>
      <c r="F105" s="5" t="n"/>
    </row>
    <row r="106">
      <c r="A106" s="28" t="n"/>
      <c r="B106" s="10" t="n"/>
      <c r="C106" s="10" t="n"/>
      <c r="D106" s="29" t="n"/>
      <c r="E106" s="10" t="n"/>
      <c r="F106" s="5" t="n"/>
    </row>
    <row r="107">
      <c r="A107" s="28" t="n"/>
      <c r="B107" s="10" t="n"/>
      <c r="C107" s="10" t="n"/>
      <c r="D107" s="29" t="n"/>
      <c r="E107" s="10" t="n"/>
      <c r="F107" s="5" t="n"/>
    </row>
    <row r="108">
      <c r="A108" s="28" t="n"/>
      <c r="B108" s="10" t="n"/>
      <c r="C108" s="10" t="n"/>
      <c r="D108" s="29" t="n"/>
      <c r="E108" s="10" t="n"/>
      <c r="F108" s="5" t="n"/>
    </row>
    <row r="109">
      <c r="A109" s="28" t="n"/>
      <c r="B109" s="10" t="n"/>
      <c r="C109" s="10" t="n"/>
      <c r="D109" s="29" t="n"/>
      <c r="E109" s="10" t="n"/>
      <c r="F109" s="5" t="n"/>
    </row>
    <row r="110">
      <c r="A110" s="28" t="n"/>
      <c r="B110" s="10" t="n"/>
      <c r="C110" s="10" t="n"/>
      <c r="D110" s="29" t="n"/>
      <c r="E110" s="10" t="n"/>
      <c r="F110" s="5" t="n"/>
    </row>
    <row r="111">
      <c r="A111" s="28" t="n"/>
      <c r="B111" s="10" t="n"/>
      <c r="C111" s="10" t="n"/>
      <c r="D111" s="29" t="n"/>
      <c r="E111" s="10" t="n"/>
      <c r="F111" s="5" t="n"/>
    </row>
    <row r="112">
      <c r="A112" s="28" t="n"/>
      <c r="B112" s="10" t="n"/>
      <c r="C112" s="10" t="n"/>
      <c r="D112" s="29" t="n"/>
      <c r="E112" s="10" t="n"/>
      <c r="F112" s="5" t="n"/>
    </row>
    <row r="113">
      <c r="A113" s="28" t="n"/>
      <c r="B113" s="10" t="n"/>
      <c r="C113" s="10" t="n"/>
      <c r="D113" s="29" t="n"/>
      <c r="E113" s="10" t="n"/>
      <c r="F113" s="5" t="n"/>
    </row>
    <row r="114">
      <c r="A114" s="28" t="n"/>
      <c r="B114" s="10" t="n"/>
      <c r="C114" s="10" t="n"/>
      <c r="D114" s="29" t="n"/>
      <c r="E114" s="10" t="n"/>
      <c r="F114" s="5" t="n"/>
    </row>
    <row r="115">
      <c r="A115" s="28" t="n"/>
      <c r="B115" s="10" t="n"/>
      <c r="C115" s="10" t="n"/>
      <c r="D115" s="29" t="n"/>
      <c r="E115" s="10" t="n"/>
      <c r="F115" s="5" t="n"/>
    </row>
    <row r="116">
      <c r="A116" s="28" t="n"/>
      <c r="B116" s="10" t="n"/>
      <c r="C116" s="10" t="n"/>
      <c r="D116" s="29" t="n"/>
      <c r="E116" s="10" t="n"/>
      <c r="F116" s="5" t="n"/>
    </row>
    <row r="117">
      <c r="A117" s="28" t="n"/>
      <c r="B117" s="10" t="n"/>
      <c r="C117" s="10" t="n"/>
      <c r="D117" s="29" t="n"/>
      <c r="E117" s="10" t="n"/>
      <c r="F117" s="5" t="n"/>
    </row>
    <row r="118">
      <c r="A118" s="28" t="n"/>
      <c r="B118" s="10" t="n"/>
      <c r="C118" s="10" t="n"/>
      <c r="D118" s="29" t="n"/>
      <c r="E118" s="10" t="n"/>
      <c r="F118" s="5" t="n"/>
    </row>
    <row r="119">
      <c r="A119" s="28" t="n"/>
      <c r="B119" s="10" t="n"/>
      <c r="C119" s="10" t="n"/>
      <c r="D119" s="29" t="n"/>
      <c r="E119" s="10" t="n"/>
      <c r="F119" s="5" t="n"/>
    </row>
    <row r="120">
      <c r="A120" s="28" t="n"/>
      <c r="B120" s="10" t="n"/>
      <c r="C120" s="10" t="n"/>
      <c r="D120" s="29" t="n"/>
      <c r="E120" s="10" t="n"/>
      <c r="F120" s="5" t="n"/>
    </row>
    <row r="121">
      <c r="A121" s="28" t="n"/>
      <c r="B121" s="10" t="n"/>
      <c r="C121" s="10" t="n"/>
      <c r="D121" s="29" t="n"/>
      <c r="E121" s="10" t="n"/>
      <c r="F121" s="5" t="n"/>
    </row>
    <row r="122">
      <c r="A122" s="28" t="n"/>
      <c r="B122" s="10" t="n"/>
      <c r="C122" s="10" t="n"/>
      <c r="D122" s="29" t="n"/>
      <c r="E122" s="10" t="n"/>
      <c r="F122" s="5" t="n"/>
    </row>
    <row r="123">
      <c r="A123" s="28" t="n"/>
      <c r="B123" s="10" t="n"/>
      <c r="C123" s="10" t="n"/>
      <c r="D123" s="29" t="n"/>
      <c r="E123" s="10" t="n"/>
      <c r="F123" s="5" t="n"/>
    </row>
    <row r="124">
      <c r="A124" s="28" t="n"/>
      <c r="B124" s="10" t="n"/>
      <c r="C124" s="10" t="n"/>
      <c r="D124" s="29" t="n"/>
      <c r="E124" s="10" t="n"/>
      <c r="F124" s="5" t="n"/>
    </row>
    <row r="125">
      <c r="A125" s="28" t="n"/>
      <c r="B125" s="10" t="n"/>
      <c r="C125" s="10" t="n"/>
      <c r="D125" s="29" t="n"/>
      <c r="E125" s="10" t="n"/>
      <c r="F125" s="5" t="n"/>
    </row>
    <row r="126">
      <c r="A126" s="28" t="n"/>
      <c r="B126" s="10" t="n"/>
      <c r="C126" s="10" t="n"/>
      <c r="D126" s="29" t="n"/>
      <c r="E126" s="10" t="n"/>
      <c r="F126" s="5" t="n"/>
    </row>
    <row r="127">
      <c r="A127" s="28" t="n"/>
      <c r="B127" s="10" t="n"/>
      <c r="C127" s="10" t="n"/>
      <c r="D127" s="29" t="n"/>
      <c r="E127" s="10" t="n"/>
      <c r="F127" s="5" t="n"/>
    </row>
    <row r="128">
      <c r="A128" s="28" t="n"/>
      <c r="B128" s="10" t="n"/>
      <c r="C128" s="10" t="n"/>
      <c r="D128" s="29" t="n"/>
      <c r="E128" s="10" t="n"/>
      <c r="F128" s="5" t="n"/>
    </row>
    <row r="129">
      <c r="A129" s="28" t="n"/>
      <c r="B129" s="10" t="n"/>
      <c r="C129" s="10" t="n"/>
      <c r="D129" s="29" t="n"/>
      <c r="E129" s="10" t="n"/>
      <c r="F129" s="5" t="n"/>
    </row>
    <row r="130">
      <c r="A130" s="28" t="n"/>
      <c r="B130" s="10" t="n"/>
      <c r="C130" s="10" t="n"/>
      <c r="D130" s="29" t="n"/>
      <c r="E130" s="10" t="n"/>
      <c r="F130" s="5" t="n"/>
    </row>
    <row r="131">
      <c r="A131" s="28" t="n"/>
      <c r="B131" s="10" t="n"/>
      <c r="C131" s="10" t="n"/>
      <c r="D131" s="29" t="n"/>
      <c r="E131" s="10" t="n"/>
      <c r="F131" s="5" t="n"/>
    </row>
    <row r="132">
      <c r="A132" s="28" t="n"/>
      <c r="B132" s="10" t="n"/>
      <c r="C132" s="10" t="n"/>
      <c r="D132" s="29" t="n"/>
      <c r="E132" s="10" t="n"/>
      <c r="F132" s="5" t="n"/>
    </row>
    <row r="133">
      <c r="A133" s="28" t="n"/>
      <c r="B133" s="10" t="n"/>
      <c r="C133" s="10" t="n"/>
      <c r="D133" s="29" t="n"/>
      <c r="E133" s="10" t="n"/>
      <c r="F133" s="5" t="n"/>
    </row>
    <row r="134">
      <c r="A134" s="28" t="n"/>
      <c r="B134" s="10" t="n"/>
      <c r="C134" s="10" t="n"/>
      <c r="D134" s="29" t="n"/>
      <c r="E134" s="10" t="n"/>
      <c r="F134" s="5" t="n"/>
    </row>
    <row r="135">
      <c r="A135" s="28" t="n"/>
      <c r="B135" s="10" t="n"/>
      <c r="C135" s="10" t="n"/>
      <c r="D135" s="29" t="n"/>
      <c r="E135" s="10" t="n"/>
      <c r="F135" s="5" t="n"/>
    </row>
    <row r="136">
      <c r="A136" s="28" t="n"/>
      <c r="B136" s="10" t="n"/>
      <c r="C136" s="10" t="n"/>
      <c r="D136" s="29" t="n"/>
      <c r="E136" s="10" t="n"/>
      <c r="F136" s="5" t="n"/>
    </row>
    <row r="137">
      <c r="A137" s="28" t="n"/>
      <c r="B137" s="10" t="n"/>
      <c r="C137" s="10" t="n"/>
      <c r="D137" s="29" t="n"/>
      <c r="E137" s="10" t="n"/>
      <c r="F137" s="5" t="n"/>
    </row>
    <row r="138">
      <c r="A138" s="28" t="n"/>
      <c r="B138" s="10" t="n"/>
      <c r="C138" s="10" t="n"/>
      <c r="D138" s="29" t="n"/>
      <c r="E138" s="10" t="n"/>
      <c r="F138" s="5" t="n"/>
    </row>
    <row r="139">
      <c r="A139" s="28" t="n"/>
      <c r="B139" s="10" t="n"/>
      <c r="C139" s="10" t="n"/>
      <c r="D139" s="29" t="n"/>
      <c r="E139" s="10" t="n"/>
      <c r="F139" s="5" t="n"/>
    </row>
    <row r="140">
      <c r="A140" s="28" t="n"/>
      <c r="B140" s="10" t="n"/>
      <c r="C140" s="10" t="n"/>
      <c r="D140" s="29" t="n"/>
      <c r="E140" s="10" t="n"/>
      <c r="F140" s="5" t="n"/>
    </row>
    <row r="141">
      <c r="A141" s="28" t="n"/>
      <c r="B141" s="10" t="n"/>
      <c r="C141" s="10" t="n"/>
      <c r="D141" s="29" t="n"/>
      <c r="E141" s="10" t="n"/>
      <c r="F141" s="5" t="n"/>
    </row>
    <row r="142">
      <c r="A142" s="28" t="n"/>
      <c r="B142" s="10" t="n"/>
      <c r="C142" s="10" t="n"/>
      <c r="D142" s="29" t="n"/>
      <c r="E142" s="10" t="n"/>
      <c r="F142" s="5" t="n"/>
    </row>
    <row r="143">
      <c r="A143" s="28" t="n"/>
      <c r="B143" s="10" t="n"/>
      <c r="C143" s="10" t="n"/>
      <c r="D143" s="29" t="n"/>
      <c r="E143" s="10" t="n"/>
      <c r="F143" s="5" t="n"/>
    </row>
    <row r="144">
      <c r="A144" s="28" t="n"/>
      <c r="B144" s="10" t="n"/>
      <c r="C144" s="10" t="n"/>
      <c r="D144" s="29" t="n"/>
      <c r="E144" s="10" t="n"/>
      <c r="F144" s="5" t="n"/>
    </row>
    <row r="145">
      <c r="A145" s="28" t="n"/>
      <c r="B145" s="10" t="n"/>
      <c r="C145" s="10" t="n"/>
      <c r="D145" s="29" t="n"/>
      <c r="E145" s="10" t="n"/>
      <c r="F145" s="5" t="n"/>
    </row>
    <row r="146">
      <c r="A146" s="28" t="n"/>
      <c r="B146" s="10" t="n"/>
      <c r="C146" s="10" t="n"/>
      <c r="D146" s="29" t="n"/>
      <c r="E146" s="10" t="n"/>
      <c r="F146" s="5" t="n"/>
    </row>
    <row r="147">
      <c r="A147" s="28" t="n"/>
      <c r="B147" s="10" t="n"/>
      <c r="C147" s="10" t="n"/>
      <c r="D147" s="29" t="n"/>
      <c r="E147" s="10" t="n"/>
      <c r="F147" s="5" t="n"/>
    </row>
    <row r="148">
      <c r="A148" s="28" t="n"/>
      <c r="B148" s="10" t="n"/>
      <c r="C148" s="10" t="n"/>
      <c r="D148" s="29" t="n"/>
      <c r="E148" s="10" t="n"/>
      <c r="F148" s="5" t="n"/>
    </row>
    <row r="149">
      <c r="A149" s="28" t="n"/>
      <c r="B149" s="10" t="n"/>
      <c r="C149" s="10" t="n"/>
      <c r="D149" s="29" t="n"/>
      <c r="E149" s="10" t="n"/>
      <c r="F149" s="5" t="n"/>
    </row>
    <row r="150">
      <c r="A150" s="28" t="n"/>
      <c r="B150" s="10" t="n"/>
      <c r="C150" s="10" t="n"/>
      <c r="D150" s="29" t="n"/>
      <c r="E150" s="10" t="n"/>
      <c r="F150" s="5" t="n"/>
    </row>
    <row r="151">
      <c r="A151" s="28" t="n"/>
      <c r="B151" s="10" t="n"/>
      <c r="C151" s="10" t="n"/>
      <c r="D151" s="29" t="n"/>
      <c r="E151" s="10" t="n"/>
      <c r="F151" s="5" t="n"/>
    </row>
    <row r="152">
      <c r="A152" s="28" t="n"/>
      <c r="B152" s="10" t="n"/>
      <c r="C152" s="10" t="n"/>
      <c r="D152" s="29" t="n"/>
      <c r="E152" s="10" t="n"/>
      <c r="F152" s="5" t="n"/>
    </row>
    <row r="153">
      <c r="A153" s="28" t="n"/>
      <c r="B153" s="10" t="n"/>
      <c r="C153" s="10" t="n"/>
      <c r="D153" s="29" t="n"/>
      <c r="E153" s="10" t="n"/>
      <c r="F153" s="5" t="n"/>
    </row>
    <row r="154">
      <c r="A154" s="28" t="n"/>
      <c r="B154" s="10" t="n"/>
      <c r="C154" s="10" t="n"/>
      <c r="D154" s="29" t="n"/>
      <c r="E154" s="10" t="n"/>
      <c r="F154" s="5" t="n"/>
    </row>
    <row r="155">
      <c r="A155" s="28" t="n"/>
      <c r="B155" s="10" t="n"/>
      <c r="C155" s="10" t="n"/>
      <c r="D155" s="29" t="n"/>
      <c r="E155" s="10" t="n"/>
      <c r="F155" s="5" t="n"/>
    </row>
    <row r="156">
      <c r="A156" s="28" t="n"/>
      <c r="B156" s="10" t="n"/>
      <c r="C156" s="10" t="n"/>
      <c r="D156" s="29" t="n"/>
      <c r="E156" s="10" t="n"/>
      <c r="F156" s="5" t="n"/>
    </row>
    <row r="157">
      <c r="A157" s="28" t="n"/>
      <c r="B157" s="10" t="n"/>
      <c r="C157" s="10" t="n"/>
      <c r="D157" s="29" t="n"/>
      <c r="E157" s="10" t="n"/>
      <c r="F157" s="5" t="n"/>
    </row>
    <row r="158">
      <c r="A158" s="28" t="n"/>
      <c r="B158" s="10" t="n"/>
      <c r="C158" s="10" t="n"/>
      <c r="D158" s="29" t="n"/>
      <c r="E158" s="10" t="n"/>
      <c r="F158" s="5" t="n"/>
    </row>
    <row r="159">
      <c r="A159" s="28" t="n"/>
      <c r="B159" s="10" t="n"/>
      <c r="C159" s="10" t="n"/>
      <c r="D159" s="29" t="n"/>
      <c r="E159" s="10" t="n"/>
      <c r="F159" s="5" t="n"/>
    </row>
    <row r="160">
      <c r="A160" s="28" t="n"/>
      <c r="B160" s="10" t="n"/>
      <c r="C160" s="10" t="n"/>
      <c r="D160" s="29" t="n"/>
      <c r="E160" s="10" t="n"/>
      <c r="F160" s="5" t="n"/>
    </row>
    <row r="161">
      <c r="A161" s="28" t="n"/>
      <c r="B161" s="10" t="n"/>
      <c r="C161" s="10" t="n"/>
      <c r="D161" s="29" t="n"/>
      <c r="E161" s="10" t="n"/>
      <c r="F161" s="5" t="n"/>
    </row>
    <row r="162">
      <c r="A162" s="28" t="n"/>
      <c r="B162" s="10" t="n"/>
      <c r="C162" s="10" t="n"/>
      <c r="D162" s="29" t="n"/>
      <c r="E162" s="10" t="n"/>
      <c r="F162" s="5" t="n"/>
    </row>
    <row r="163">
      <c r="A163" s="28" t="n"/>
      <c r="B163" s="10" t="n"/>
      <c r="C163" s="10" t="n"/>
      <c r="D163" s="29" t="n"/>
      <c r="E163" s="10" t="n"/>
      <c r="F163" s="5" t="n"/>
    </row>
    <row r="164">
      <c r="A164" s="28" t="n"/>
      <c r="B164" s="10" t="n"/>
      <c r="C164" s="10" t="n"/>
      <c r="D164" s="29" t="n"/>
      <c r="E164" s="10" t="n"/>
      <c r="F164" s="5" t="n"/>
    </row>
    <row r="165">
      <c r="A165" s="28" t="n"/>
      <c r="B165" s="10" t="n"/>
      <c r="C165" s="10" t="n"/>
      <c r="D165" s="29" t="n"/>
      <c r="E165" s="10" t="n"/>
      <c r="F165" s="5" t="n"/>
    </row>
    <row r="166">
      <c r="A166" s="28" t="n"/>
      <c r="B166" s="10" t="n"/>
      <c r="C166" s="10" t="n"/>
      <c r="D166" s="29" t="n"/>
      <c r="E166" s="10" t="n"/>
      <c r="F166" s="5" t="n"/>
    </row>
    <row r="167">
      <c r="A167" s="28" t="n"/>
      <c r="B167" s="10" t="n"/>
      <c r="C167" s="10" t="n"/>
      <c r="D167" s="29" t="n"/>
      <c r="E167" s="10" t="n"/>
      <c r="F167" s="5" t="n"/>
    </row>
    <row r="168">
      <c r="A168" s="28" t="n"/>
      <c r="B168" s="10" t="n"/>
      <c r="C168" s="10" t="n"/>
      <c r="D168" s="29" t="n"/>
      <c r="E168" s="10" t="n"/>
      <c r="F168" s="5" t="n"/>
    </row>
    <row r="169">
      <c r="A169" s="28" t="n"/>
      <c r="B169" s="10" t="n"/>
      <c r="C169" s="10" t="n"/>
      <c r="D169" s="29" t="n"/>
      <c r="E169" s="10" t="n"/>
      <c r="F169" s="5" t="n"/>
    </row>
    <row r="170">
      <c r="A170" s="28" t="n"/>
      <c r="B170" s="10" t="n"/>
      <c r="C170" s="10" t="n"/>
      <c r="D170" s="29" t="n"/>
      <c r="E170" s="10" t="n"/>
      <c r="F170" s="5" t="n"/>
    </row>
    <row r="171">
      <c r="A171" s="28" t="n"/>
      <c r="B171" s="10" t="n"/>
      <c r="C171" s="10" t="n"/>
      <c r="D171" s="29" t="n"/>
      <c r="E171" s="10" t="n"/>
      <c r="F171" s="5" t="n"/>
    </row>
    <row r="172">
      <c r="A172" s="28" t="n"/>
      <c r="B172" s="10" t="n"/>
      <c r="C172" s="10" t="n"/>
      <c r="D172" s="29" t="n"/>
      <c r="E172" s="10" t="n"/>
      <c r="F172" s="5" t="n"/>
    </row>
    <row r="173">
      <c r="A173" s="28" t="n"/>
      <c r="B173" s="10" t="n"/>
      <c r="C173" s="10" t="n"/>
      <c r="D173" s="29" t="n"/>
      <c r="E173" s="10" t="n"/>
      <c r="F173" s="5" t="n"/>
    </row>
    <row r="174">
      <c r="A174" s="28" t="n"/>
      <c r="B174" s="10" t="n"/>
      <c r="C174" s="10" t="n"/>
      <c r="D174" s="29" t="n"/>
      <c r="E174" s="10" t="n"/>
      <c r="F174" s="5" t="n"/>
    </row>
    <row r="175">
      <c r="A175" s="28" t="n"/>
      <c r="B175" s="10" t="n"/>
      <c r="C175" s="10" t="n"/>
      <c r="D175" s="29" t="n"/>
      <c r="E175" s="10" t="n"/>
      <c r="F175" s="5" t="n"/>
    </row>
    <row r="176">
      <c r="A176" s="28" t="n"/>
      <c r="B176" s="10" t="n"/>
      <c r="C176" s="10" t="n"/>
      <c r="D176" s="29" t="n"/>
      <c r="E176" s="10" t="n"/>
      <c r="F176" s="5" t="n"/>
    </row>
    <row r="177">
      <c r="A177" s="28" t="n"/>
      <c r="B177" s="10" t="n"/>
      <c r="C177" s="10" t="n"/>
      <c r="D177" s="29" t="n"/>
      <c r="E177" s="10" t="n"/>
      <c r="F177" s="5" t="n"/>
    </row>
    <row r="178">
      <c r="A178" s="28" t="n"/>
      <c r="B178" s="10" t="n"/>
      <c r="C178" s="10" t="n"/>
      <c r="D178" s="29" t="n"/>
      <c r="E178" s="10" t="n"/>
      <c r="F178" s="5" t="n"/>
    </row>
    <row r="179">
      <c r="A179" s="28" t="n"/>
      <c r="B179" s="10" t="n"/>
      <c r="C179" s="10" t="n"/>
      <c r="D179" s="29" t="n"/>
      <c r="E179" s="10" t="n"/>
      <c r="F179" s="5" t="n"/>
    </row>
    <row r="180">
      <c r="A180" s="28" t="n"/>
      <c r="B180" s="10" t="n"/>
      <c r="C180" s="10" t="n"/>
      <c r="D180" s="29" t="n"/>
      <c r="E180" s="10" t="n"/>
      <c r="F180" s="5" t="n"/>
    </row>
    <row r="181">
      <c r="A181" s="28" t="n"/>
      <c r="B181" s="10" t="n"/>
      <c r="C181" s="10" t="n"/>
      <c r="D181" s="29" t="n"/>
      <c r="E181" s="10" t="n"/>
      <c r="F181" s="5" t="n"/>
    </row>
    <row r="182">
      <c r="A182" s="28" t="n"/>
      <c r="B182" s="10" t="n"/>
      <c r="C182" s="10" t="n"/>
      <c r="D182" s="29" t="n"/>
      <c r="E182" s="10" t="n"/>
      <c r="F182" s="5" t="n"/>
    </row>
    <row r="183">
      <c r="A183" s="28" t="n"/>
      <c r="B183" s="10" t="n"/>
      <c r="C183" s="10" t="n"/>
      <c r="D183" s="29" t="n"/>
      <c r="E183" s="10" t="n"/>
      <c r="F183" s="5" t="n"/>
    </row>
    <row r="184">
      <c r="A184" s="28" t="n"/>
      <c r="B184" s="10" t="n"/>
      <c r="C184" s="10" t="n"/>
      <c r="D184" s="29" t="n"/>
      <c r="E184" s="10" t="n"/>
      <c r="F184" s="5" t="n"/>
    </row>
    <row r="185">
      <c r="A185" s="28" t="n"/>
      <c r="B185" s="10" t="n"/>
      <c r="C185" s="10" t="n"/>
      <c r="D185" s="29" t="n"/>
      <c r="E185" s="10" t="n"/>
      <c r="F185" s="5" t="n"/>
    </row>
    <row r="186">
      <c r="A186" s="28" t="n"/>
      <c r="B186" s="10" t="n"/>
      <c r="C186" s="10" t="n"/>
      <c r="D186" s="29" t="n"/>
      <c r="E186" s="10" t="n"/>
      <c r="F186" s="5" t="n"/>
    </row>
    <row r="187">
      <c r="A187" s="28" t="n"/>
      <c r="B187" s="10" t="n"/>
      <c r="C187" s="10" t="n"/>
      <c r="D187" s="29" t="n"/>
      <c r="E187" s="10" t="n"/>
      <c r="F187" s="5" t="n"/>
    </row>
    <row r="188">
      <c r="A188" s="28" t="n"/>
      <c r="B188" s="10" t="n"/>
      <c r="C188" s="10" t="n"/>
      <c r="D188" s="29" t="n"/>
      <c r="E188" s="10" t="n"/>
      <c r="F188" s="5" t="n"/>
    </row>
    <row r="189">
      <c r="A189" s="28" t="n"/>
      <c r="B189" s="10" t="n"/>
      <c r="C189" s="10" t="n"/>
      <c r="D189" s="29" t="n"/>
      <c r="E189" s="10" t="n"/>
      <c r="F189" s="5" t="n"/>
    </row>
    <row r="190">
      <c r="A190" s="28" t="n"/>
      <c r="B190" s="10" t="n"/>
      <c r="C190" s="10" t="n"/>
      <c r="D190" s="29" t="n"/>
      <c r="E190" s="10" t="n"/>
      <c r="F190" s="5" t="n"/>
    </row>
    <row r="191">
      <c r="A191" s="28" t="n"/>
      <c r="B191" s="10" t="n"/>
      <c r="C191" s="10" t="n"/>
      <c r="D191" s="29" t="n"/>
      <c r="E191" s="10" t="n"/>
      <c r="F191" s="5" t="n"/>
    </row>
    <row r="192">
      <c r="A192" s="28" t="n"/>
      <c r="B192" s="10" t="n"/>
      <c r="C192" s="10" t="n"/>
      <c r="D192" s="29" t="n"/>
      <c r="E192" s="10" t="n"/>
      <c r="F192" s="5" t="n"/>
    </row>
    <row r="193">
      <c r="A193" s="28" t="n"/>
      <c r="B193" s="10" t="n"/>
      <c r="C193" s="10" t="n"/>
      <c r="D193" s="29" t="n"/>
      <c r="E193" s="10" t="n"/>
      <c r="F193" s="5" t="n"/>
    </row>
    <row r="194">
      <c r="A194" s="28" t="n"/>
      <c r="B194" s="10" t="n"/>
      <c r="C194" s="10" t="n"/>
      <c r="D194" s="29" t="n"/>
      <c r="E194" s="10" t="n"/>
      <c r="F194" s="5" t="n"/>
    </row>
    <row r="195">
      <c r="A195" s="28" t="n"/>
      <c r="B195" s="10" t="n"/>
      <c r="C195" s="10" t="n"/>
      <c r="D195" s="29" t="n"/>
      <c r="E195" s="10" t="n"/>
      <c r="F195" s="5" t="n"/>
    </row>
    <row r="196">
      <c r="A196" s="28" t="n"/>
      <c r="B196" s="10" t="n"/>
      <c r="C196" s="10" t="n"/>
      <c r="D196" s="29" t="n"/>
      <c r="E196" s="10" t="n"/>
      <c r="F196" s="5" t="n"/>
    </row>
    <row r="197">
      <c r="A197" s="28" t="n"/>
      <c r="B197" s="10" t="n"/>
      <c r="C197" s="10" t="n"/>
      <c r="D197" s="29" t="n"/>
      <c r="E197" s="10" t="n"/>
      <c r="F197" s="5" t="n"/>
    </row>
    <row r="198">
      <c r="A198" s="28" t="n"/>
      <c r="B198" s="10" t="n"/>
      <c r="C198" s="10" t="n"/>
      <c r="D198" s="29" t="n"/>
      <c r="E198" s="10" t="n"/>
      <c r="F198" s="5" t="n"/>
    </row>
    <row r="199">
      <c r="A199" s="28" t="n"/>
      <c r="B199" s="10" t="n"/>
      <c r="C199" s="10" t="n"/>
      <c r="D199" s="29" t="n"/>
      <c r="E199" s="10" t="n"/>
      <c r="F199" s="5" t="n"/>
    </row>
    <row r="200">
      <c r="A200" s="28" t="n"/>
      <c r="B200" s="10" t="n"/>
      <c r="C200" s="10" t="n"/>
      <c r="D200" s="29" t="n"/>
      <c r="E200" s="10" t="n"/>
      <c r="F200" s="5" t="n"/>
    </row>
    <row r="201">
      <c r="A201" s="28" t="n"/>
      <c r="B201" s="10" t="n"/>
      <c r="C201" s="10" t="n"/>
      <c r="D201" s="29" t="n"/>
      <c r="E201" s="10" t="n"/>
      <c r="F201" s="5" t="n"/>
    </row>
    <row r="202">
      <c r="A202" s="28" t="n"/>
      <c r="B202" s="10" t="n"/>
      <c r="C202" s="10" t="n"/>
      <c r="D202" s="29" t="n"/>
      <c r="E202" s="10" t="n"/>
      <c r="F202" s="5" t="n"/>
    </row>
    <row r="203">
      <c r="A203" s="28" t="n"/>
      <c r="B203" s="10" t="n"/>
      <c r="C203" s="10" t="n"/>
      <c r="D203" s="29" t="n"/>
      <c r="E203" s="10" t="n"/>
      <c r="F203" s="5" t="n"/>
    </row>
    <row r="204">
      <c r="A204" s="28" t="n"/>
      <c r="B204" s="10" t="n"/>
      <c r="C204" s="10" t="n"/>
      <c r="D204" s="29" t="n"/>
      <c r="E204" s="10" t="n"/>
      <c r="F204" s="5" t="n"/>
    </row>
    <row r="205">
      <c r="A205" s="28" t="n"/>
      <c r="B205" s="10" t="n"/>
      <c r="C205" s="10" t="n"/>
      <c r="D205" s="29" t="n"/>
      <c r="E205" s="10" t="n"/>
      <c r="F205" s="5" t="n"/>
    </row>
    <row r="206">
      <c r="A206" s="28" t="n"/>
      <c r="B206" s="10" t="n"/>
      <c r="C206" s="10" t="n"/>
      <c r="D206" s="29" t="n"/>
      <c r="E206" s="10" t="n"/>
      <c r="F206" s="5" t="n"/>
    </row>
    <row r="207">
      <c r="A207" s="28" t="n"/>
      <c r="B207" s="10" t="n"/>
      <c r="C207" s="10" t="n"/>
      <c r="D207" s="29" t="n"/>
      <c r="E207" s="10" t="n"/>
      <c r="F207" s="5" t="n"/>
    </row>
    <row r="208">
      <c r="A208" s="28" t="n"/>
      <c r="B208" s="10" t="n"/>
      <c r="C208" s="10" t="n"/>
      <c r="D208" s="29" t="n"/>
      <c r="E208" s="10" t="n"/>
      <c r="F208" s="5" t="n"/>
    </row>
    <row r="209">
      <c r="A209" s="28" t="n"/>
      <c r="B209" s="10" t="n"/>
      <c r="C209" s="10" t="n"/>
      <c r="D209" s="29" t="n"/>
      <c r="E209" s="10" t="n"/>
      <c r="F209" s="5" t="n"/>
    </row>
    <row r="210">
      <c r="A210" s="28" t="n"/>
      <c r="B210" s="10" t="n"/>
      <c r="C210" s="10" t="n"/>
      <c r="D210" s="29" t="n"/>
      <c r="E210" s="10" t="n"/>
      <c r="F210" s="5" t="n"/>
    </row>
    <row r="211">
      <c r="A211" s="28" t="n"/>
      <c r="B211" s="10" t="n"/>
      <c r="C211" s="10" t="n"/>
      <c r="D211" s="29" t="n"/>
      <c r="E211" s="10" t="n"/>
      <c r="F211" s="5" t="n"/>
    </row>
    <row r="212">
      <c r="A212" s="28" t="n"/>
      <c r="B212" s="10" t="n"/>
      <c r="C212" s="10" t="n"/>
      <c r="D212" s="29" t="n"/>
      <c r="E212" s="10" t="n"/>
      <c r="F212" s="5" t="n"/>
    </row>
    <row r="213">
      <c r="A213" s="28" t="n"/>
      <c r="B213" s="10" t="n"/>
      <c r="C213" s="10" t="n"/>
      <c r="D213" s="29" t="n"/>
      <c r="E213" s="10" t="n"/>
      <c r="F213" s="5" t="n"/>
    </row>
    <row r="214">
      <c r="A214" s="28" t="n"/>
      <c r="B214" s="10" t="n"/>
      <c r="C214" s="10" t="n"/>
      <c r="D214" s="29" t="n"/>
      <c r="E214" s="10" t="n"/>
      <c r="F214" s="5" t="n"/>
    </row>
    <row r="215">
      <c r="A215" s="28" t="n"/>
      <c r="B215" s="10" t="n"/>
      <c r="C215" s="10" t="n"/>
      <c r="D215" s="29" t="n"/>
      <c r="E215" s="10" t="n"/>
      <c r="F215" s="5" t="n"/>
    </row>
    <row r="216">
      <c r="A216" s="28" t="n"/>
      <c r="B216" s="10" t="n"/>
      <c r="C216" s="10" t="n"/>
      <c r="D216" s="29" t="n"/>
      <c r="E216" s="10" t="n"/>
      <c r="F216" s="5" t="n"/>
    </row>
    <row r="217">
      <c r="A217" s="28" t="n"/>
      <c r="B217" s="10" t="n"/>
      <c r="C217" s="10" t="n"/>
      <c r="D217" s="29" t="n"/>
      <c r="E217" s="10" t="n"/>
      <c r="F217" s="5" t="n"/>
    </row>
    <row r="218">
      <c r="A218" s="28" t="n"/>
      <c r="B218" s="10" t="n"/>
      <c r="C218" s="10" t="n"/>
      <c r="D218" s="29" t="n"/>
      <c r="E218" s="10" t="n"/>
      <c r="F218" s="5" t="n"/>
    </row>
    <row r="219">
      <c r="A219" s="28" t="n"/>
      <c r="B219" s="10" t="n"/>
      <c r="C219" s="10" t="n"/>
      <c r="D219" s="29" t="n"/>
      <c r="E219" s="10" t="n"/>
      <c r="F219" s="5" t="n"/>
    </row>
    <row r="220">
      <c r="A220" s="28" t="n"/>
      <c r="B220" s="10" t="n"/>
      <c r="C220" s="10" t="n"/>
      <c r="D220" s="29" t="n"/>
      <c r="E220" s="10" t="n"/>
      <c r="F220" s="5" t="n"/>
    </row>
    <row r="221">
      <c r="A221" s="28" t="n"/>
      <c r="B221" s="10" t="n"/>
      <c r="C221" s="10" t="n"/>
      <c r="D221" s="29" t="n"/>
      <c r="E221" s="10" t="n"/>
      <c r="F221" s="5" t="n"/>
    </row>
    <row r="222">
      <c r="A222" s="28" t="n"/>
      <c r="B222" s="10" t="n"/>
      <c r="C222" s="10" t="n"/>
      <c r="D222" s="29" t="n"/>
      <c r="E222" s="10" t="n"/>
      <c r="F222" s="5" t="n"/>
    </row>
    <row r="223">
      <c r="A223" s="28" t="n"/>
      <c r="B223" s="10" t="n"/>
      <c r="C223" s="10" t="n"/>
      <c r="D223" s="29" t="n"/>
      <c r="E223" s="10" t="n"/>
      <c r="F223" s="5" t="n"/>
    </row>
    <row r="224">
      <c r="A224" s="28" t="n"/>
      <c r="B224" s="10" t="n"/>
      <c r="C224" s="10" t="n"/>
      <c r="D224" s="29" t="n"/>
      <c r="E224" s="10" t="n"/>
      <c r="F224" s="5" t="n"/>
    </row>
    <row r="225">
      <c r="A225" s="28" t="n"/>
      <c r="B225" s="10" t="n"/>
      <c r="C225" s="10" t="n"/>
      <c r="D225" s="29" t="n"/>
      <c r="E225" s="10" t="n"/>
      <c r="F225" s="5" t="n"/>
    </row>
    <row r="226">
      <c r="A226" s="28" t="n"/>
      <c r="B226" s="10" t="n"/>
      <c r="C226" s="10" t="n"/>
      <c r="D226" s="29" t="n"/>
      <c r="E226" s="10" t="n"/>
      <c r="F226" s="5" t="n"/>
    </row>
    <row r="227">
      <c r="A227" s="28" t="n"/>
      <c r="B227" s="10" t="n"/>
      <c r="C227" s="10" t="n"/>
      <c r="D227" s="29" t="n"/>
      <c r="E227" s="10" t="n"/>
      <c r="F227" s="5" t="n"/>
    </row>
    <row r="228">
      <c r="A228" s="28" t="n"/>
      <c r="B228" s="10" t="n"/>
      <c r="C228" s="10" t="n"/>
      <c r="D228" s="29" t="n"/>
      <c r="E228" s="10" t="n"/>
      <c r="F228" s="5" t="n"/>
    </row>
    <row r="229">
      <c r="A229" s="28" t="n"/>
      <c r="B229" s="10" t="n"/>
      <c r="C229" s="10" t="n"/>
      <c r="D229" s="29" t="n"/>
      <c r="E229" s="10" t="n"/>
      <c r="F229" s="5" t="n"/>
    </row>
    <row r="230">
      <c r="A230" s="28" t="n"/>
      <c r="B230" s="10" t="n"/>
      <c r="C230" s="10" t="n"/>
      <c r="D230" s="29" t="n"/>
      <c r="E230" s="10" t="n"/>
      <c r="F230" s="5" t="n"/>
    </row>
    <row r="231">
      <c r="A231" s="28" t="n"/>
      <c r="B231" s="10" t="n"/>
      <c r="C231" s="10" t="n"/>
      <c r="D231" s="29" t="n"/>
      <c r="E231" s="10" t="n"/>
      <c r="F231" s="5" t="n"/>
    </row>
    <row r="232">
      <c r="A232" s="28" t="n"/>
      <c r="B232" s="10" t="n"/>
      <c r="C232" s="10" t="n"/>
      <c r="D232" s="29" t="n"/>
      <c r="E232" s="10" t="n"/>
      <c r="F232" s="5" t="n"/>
    </row>
    <row r="233">
      <c r="A233" s="28" t="n"/>
      <c r="B233" s="10" t="n"/>
      <c r="C233" s="10" t="n"/>
      <c r="D233" s="29" t="n"/>
      <c r="E233" s="10" t="n"/>
      <c r="F233" s="5" t="n"/>
    </row>
    <row r="234">
      <c r="A234" s="28" t="n"/>
      <c r="B234" s="10" t="n"/>
      <c r="C234" s="10" t="n"/>
      <c r="D234" s="29" t="n"/>
      <c r="E234" s="10" t="n"/>
      <c r="F234" s="5" t="n"/>
    </row>
    <row r="235">
      <c r="A235" s="28" t="n"/>
      <c r="B235" s="10" t="n"/>
      <c r="C235" s="10" t="n"/>
      <c r="D235" s="29" t="n"/>
      <c r="E235" s="10" t="n"/>
      <c r="F235" s="5" t="n"/>
    </row>
    <row r="236">
      <c r="A236" s="28" t="n"/>
      <c r="B236" s="10" t="n"/>
      <c r="C236" s="10" t="n"/>
      <c r="D236" s="29" t="n"/>
      <c r="E236" s="10" t="n"/>
      <c r="F236" s="5" t="n"/>
    </row>
    <row r="237">
      <c r="A237" s="28" t="n"/>
      <c r="B237" s="10" t="n"/>
      <c r="C237" s="10" t="n"/>
      <c r="D237" s="29" t="n"/>
      <c r="E237" s="10" t="n"/>
      <c r="F237" s="5" t="n"/>
    </row>
    <row r="238">
      <c r="A238" s="28" t="n"/>
      <c r="B238" s="10" t="n"/>
      <c r="C238" s="10" t="n"/>
      <c r="D238" s="29" t="n"/>
      <c r="E238" s="10" t="n"/>
      <c r="F238" s="5" t="n"/>
    </row>
    <row r="239">
      <c r="A239" s="28" t="n"/>
      <c r="B239" s="10" t="n"/>
      <c r="C239" s="10" t="n"/>
      <c r="D239" s="29" t="n"/>
      <c r="E239" s="10" t="n"/>
      <c r="F239" s="5" t="n"/>
    </row>
    <row r="240">
      <c r="A240" s="28" t="n"/>
      <c r="B240" s="10" t="n"/>
      <c r="C240" s="10" t="n"/>
      <c r="D240" s="29" t="n"/>
      <c r="E240" s="10" t="n"/>
      <c r="F240" s="5" t="n"/>
    </row>
    <row r="241">
      <c r="A241" s="28" t="n"/>
      <c r="B241" s="10" t="n"/>
      <c r="C241" s="10" t="n"/>
      <c r="D241" s="29" t="n"/>
      <c r="E241" s="10" t="n"/>
      <c r="F241" s="5" t="n"/>
    </row>
    <row r="242">
      <c r="A242" s="28" t="n"/>
      <c r="B242" s="10" t="n"/>
      <c r="C242" s="10" t="n"/>
      <c r="D242" s="29" t="n"/>
      <c r="E242" s="10" t="n"/>
      <c r="F242" s="5" t="n"/>
    </row>
    <row r="243">
      <c r="A243" s="28" t="n"/>
      <c r="B243" s="10" t="n"/>
      <c r="C243" s="10" t="n"/>
      <c r="D243" s="29" t="n"/>
      <c r="E243" s="10" t="n"/>
      <c r="F243" s="5" t="n"/>
    </row>
    <row r="244">
      <c r="A244" s="28" t="n"/>
      <c r="B244" s="10" t="n"/>
      <c r="C244" s="10" t="n"/>
      <c r="D244" s="29" t="n"/>
      <c r="E244" s="10" t="n"/>
      <c r="F244" s="5" t="n"/>
    </row>
    <row r="245">
      <c r="A245" s="28" t="n"/>
      <c r="B245" s="10" t="n"/>
      <c r="C245" s="10" t="n"/>
      <c r="D245" s="29" t="n"/>
      <c r="E245" s="10" t="n"/>
      <c r="F245" s="5" t="n"/>
    </row>
    <row r="246">
      <c r="A246" s="28" t="n"/>
      <c r="B246" s="10" t="n"/>
      <c r="C246" s="10" t="n"/>
      <c r="D246" s="29" t="n"/>
      <c r="E246" s="10" t="n"/>
      <c r="F246" s="5" t="n"/>
    </row>
    <row r="247">
      <c r="A247" s="28" t="n"/>
      <c r="B247" s="10" t="n"/>
      <c r="C247" s="10" t="n"/>
      <c r="D247" s="29" t="n"/>
      <c r="E247" s="10" t="n"/>
      <c r="F247" s="5" t="n"/>
    </row>
    <row r="248">
      <c r="A248" s="28" t="n"/>
      <c r="B248" s="10" t="n"/>
      <c r="C248" s="10" t="n"/>
      <c r="D248" s="29" t="n"/>
      <c r="E248" s="10" t="n"/>
      <c r="F248" s="5" t="n"/>
    </row>
    <row r="249">
      <c r="A249" s="28" t="n"/>
      <c r="B249" s="10" t="n"/>
      <c r="C249" s="10" t="n"/>
      <c r="D249" s="29" t="n"/>
      <c r="E249" s="10" t="n"/>
      <c r="F249" s="5" t="n"/>
    </row>
    <row r="250">
      <c r="A250" s="28" t="n"/>
      <c r="B250" s="10" t="n"/>
      <c r="C250" s="10" t="n"/>
      <c r="D250" s="29" t="n"/>
      <c r="E250" s="10" t="n"/>
      <c r="F250" s="5" t="n"/>
    </row>
    <row r="251">
      <c r="A251" s="28" t="n"/>
      <c r="B251" s="10" t="n"/>
      <c r="C251" s="10" t="n"/>
      <c r="D251" s="29" t="n"/>
      <c r="E251" s="10" t="n"/>
      <c r="F251" s="5" t="n"/>
    </row>
    <row r="252">
      <c r="A252" s="28" t="n"/>
      <c r="B252" s="10" t="n"/>
      <c r="C252" s="10" t="n"/>
      <c r="D252" s="29" t="n"/>
      <c r="E252" s="10" t="n"/>
      <c r="F252" s="5" t="n"/>
    </row>
    <row r="253">
      <c r="A253" s="28" t="n"/>
      <c r="B253" s="10" t="n"/>
      <c r="C253" s="10" t="n"/>
      <c r="D253" s="29" t="n"/>
      <c r="E253" s="10" t="n"/>
      <c r="F253" s="5" t="n"/>
    </row>
    <row r="254">
      <c r="A254" s="28" t="n"/>
      <c r="B254" s="10" t="n"/>
      <c r="C254" s="10" t="n"/>
      <c r="D254" s="29" t="n"/>
      <c r="E254" s="10" t="n"/>
      <c r="F254" s="5" t="n"/>
    </row>
    <row r="255">
      <c r="A255" s="28" t="n"/>
      <c r="B255" s="10" t="n"/>
      <c r="C255" s="10" t="n"/>
      <c r="D255" s="29" t="n"/>
      <c r="E255" s="10" t="n"/>
      <c r="F255" s="5" t="n"/>
    </row>
    <row r="256">
      <c r="A256" s="28" t="n"/>
      <c r="B256" s="10" t="n"/>
      <c r="C256" s="10" t="n"/>
      <c r="D256" s="29" t="n"/>
      <c r="E256" s="10" t="n"/>
      <c r="F256" s="5" t="n"/>
    </row>
    <row r="257">
      <c r="A257" s="28" t="n"/>
      <c r="B257" s="10" t="n"/>
      <c r="C257" s="10" t="n"/>
      <c r="D257" s="29" t="n"/>
      <c r="E257" s="10" t="n"/>
      <c r="F257" s="5" t="n"/>
    </row>
    <row r="258">
      <c r="A258" s="28" t="n"/>
      <c r="B258" s="10" t="n"/>
      <c r="C258" s="10" t="n"/>
      <c r="D258" s="29" t="n"/>
      <c r="E258" s="10" t="n"/>
      <c r="F258" s="5" t="n"/>
    </row>
    <row r="259">
      <c r="A259" s="28" t="n"/>
      <c r="B259" s="10" t="n"/>
      <c r="C259" s="10" t="n"/>
      <c r="D259" s="29" t="n"/>
      <c r="E259" s="10" t="n"/>
      <c r="F259" s="5" t="n"/>
    </row>
    <row r="260">
      <c r="A260" s="28" t="n"/>
      <c r="B260" s="10" t="n"/>
      <c r="C260" s="10" t="n"/>
      <c r="D260" s="29" t="n"/>
      <c r="E260" s="10" t="n"/>
      <c r="F260" s="5" t="n"/>
    </row>
    <row r="261">
      <c r="A261" s="28" t="n"/>
      <c r="B261" s="10" t="n"/>
      <c r="C261" s="10" t="n"/>
      <c r="D261" s="29" t="n"/>
      <c r="E261" s="10" t="n"/>
      <c r="F261" s="5" t="n"/>
    </row>
    <row r="262">
      <c r="A262" s="28" t="n"/>
      <c r="B262" s="10" t="n"/>
      <c r="C262" s="10" t="n"/>
      <c r="D262" s="29" t="n"/>
      <c r="E262" s="10" t="n"/>
      <c r="F262" s="5" t="n"/>
    </row>
    <row r="263">
      <c r="A263" s="28" t="n"/>
      <c r="B263" s="10" t="n"/>
      <c r="C263" s="10" t="n"/>
      <c r="D263" s="29" t="n"/>
      <c r="E263" s="10" t="n"/>
      <c r="F263" s="5" t="n"/>
    </row>
    <row r="264">
      <c r="A264" s="28" t="n"/>
      <c r="B264" s="10" t="n"/>
      <c r="C264" s="10" t="n"/>
      <c r="D264" s="29" t="n"/>
      <c r="E264" s="10" t="n"/>
      <c r="F264" s="5" t="n"/>
    </row>
    <row r="265">
      <c r="A265" s="28" t="n"/>
      <c r="B265" s="10" t="n"/>
      <c r="C265" s="10" t="n"/>
      <c r="D265" s="29" t="n"/>
      <c r="E265" s="10" t="n"/>
      <c r="F265" s="5" t="n"/>
    </row>
    <row r="266">
      <c r="A266" s="28" t="n"/>
      <c r="B266" s="10" t="n"/>
      <c r="C266" s="10" t="n"/>
      <c r="D266" s="29" t="n"/>
      <c r="E266" s="10" t="n"/>
      <c r="F266" s="5" t="n"/>
    </row>
    <row r="267">
      <c r="A267" s="28" t="n"/>
      <c r="B267" s="10" t="n"/>
      <c r="C267" s="10" t="n"/>
      <c r="D267" s="29" t="n"/>
      <c r="E267" s="10" t="n"/>
      <c r="F267" s="5" t="n"/>
    </row>
    <row r="268">
      <c r="A268" s="28" t="n"/>
      <c r="B268" s="10" t="n"/>
      <c r="C268" s="10" t="n"/>
      <c r="D268" s="29" t="n"/>
      <c r="E268" s="10" t="n"/>
      <c r="F268" s="5" t="n"/>
    </row>
    <row r="269">
      <c r="A269" s="28" t="n"/>
      <c r="B269" s="10" t="n"/>
      <c r="C269" s="10" t="n"/>
      <c r="D269" s="29" t="n"/>
      <c r="E269" s="10" t="n"/>
      <c r="F269" s="5" t="n"/>
    </row>
    <row r="270">
      <c r="A270" s="28" t="n"/>
      <c r="B270" s="10" t="n"/>
      <c r="C270" s="10" t="n"/>
      <c r="D270" s="29" t="n"/>
      <c r="E270" s="10" t="n"/>
      <c r="F270" s="5" t="n"/>
    </row>
    <row r="271">
      <c r="A271" s="28" t="n"/>
      <c r="B271" s="10" t="n"/>
      <c r="C271" s="10" t="n"/>
      <c r="D271" s="29" t="n"/>
      <c r="E271" s="10" t="n"/>
      <c r="F271" s="5" t="n"/>
    </row>
    <row r="272">
      <c r="A272" s="28" t="n"/>
      <c r="B272" s="10" t="n"/>
      <c r="C272" s="10" t="n"/>
      <c r="D272" s="29" t="n"/>
      <c r="E272" s="10" t="n"/>
      <c r="F272" s="5" t="n"/>
    </row>
    <row r="273">
      <c r="A273" s="28" t="n"/>
      <c r="B273" s="10" t="n"/>
      <c r="C273" s="10" t="n"/>
      <c r="D273" s="29" t="n"/>
      <c r="E273" s="10" t="n"/>
      <c r="F273" s="5" t="n"/>
    </row>
    <row r="274">
      <c r="A274" s="28" t="n"/>
      <c r="B274" s="10" t="n"/>
      <c r="C274" s="10" t="n"/>
      <c r="D274" s="29" t="n"/>
      <c r="E274" s="10" t="n"/>
      <c r="F274" s="5" t="n"/>
    </row>
    <row r="275">
      <c r="A275" s="28" t="n"/>
      <c r="B275" s="10" t="n"/>
      <c r="C275" s="10" t="n"/>
      <c r="D275" s="29" t="n"/>
      <c r="E275" s="10" t="n"/>
      <c r="F275" s="5" t="n"/>
    </row>
    <row r="276">
      <c r="A276" s="28" t="n"/>
      <c r="B276" s="10" t="n"/>
      <c r="C276" s="10" t="n"/>
      <c r="D276" s="29" t="n"/>
      <c r="E276" s="10" t="n"/>
      <c r="F276" s="5" t="n"/>
    </row>
    <row r="277">
      <c r="A277" s="28" t="n"/>
      <c r="B277" s="10" t="n"/>
      <c r="C277" s="10" t="n"/>
      <c r="D277" s="29" t="n"/>
      <c r="E277" s="10" t="n"/>
      <c r="F277" s="5" t="n"/>
    </row>
    <row r="278">
      <c r="A278" s="28" t="n"/>
      <c r="B278" s="10" t="n"/>
      <c r="C278" s="10" t="n"/>
      <c r="D278" s="29" t="n"/>
      <c r="E278" s="10" t="n"/>
      <c r="F278" s="5" t="n"/>
    </row>
    <row r="279">
      <c r="A279" s="28" t="n"/>
      <c r="B279" s="10" t="n"/>
      <c r="C279" s="10" t="n"/>
      <c r="D279" s="29" t="n"/>
      <c r="E279" s="10" t="n"/>
      <c r="F279" s="5" t="n"/>
    </row>
    <row r="280">
      <c r="A280" s="28" t="n"/>
      <c r="B280" s="10" t="n"/>
      <c r="C280" s="10" t="n"/>
      <c r="D280" s="29" t="n"/>
      <c r="E280" s="10" t="n"/>
      <c r="F280" s="5" t="n"/>
    </row>
    <row r="281">
      <c r="A281" s="28" t="n"/>
      <c r="B281" s="10" t="n"/>
      <c r="C281" s="10" t="n"/>
      <c r="D281" s="29" t="n"/>
      <c r="E281" s="10" t="n"/>
      <c r="F281" s="5" t="n"/>
    </row>
    <row r="282">
      <c r="A282" s="28" t="n"/>
      <c r="B282" s="10" t="n"/>
      <c r="C282" s="10" t="n"/>
      <c r="D282" s="29" t="n"/>
      <c r="E282" s="10" t="n"/>
      <c r="F282" s="5" t="n"/>
    </row>
    <row r="283">
      <c r="A283" s="28" t="n"/>
      <c r="B283" s="10" t="n"/>
      <c r="C283" s="10" t="n"/>
      <c r="D283" s="29" t="n"/>
      <c r="E283" s="10" t="n"/>
      <c r="F283" s="5" t="n"/>
    </row>
    <row r="284">
      <c r="A284" s="28" t="n"/>
      <c r="B284" s="10" t="n"/>
      <c r="C284" s="10" t="n"/>
      <c r="D284" s="29" t="n"/>
      <c r="E284" s="10" t="n"/>
      <c r="F284" s="5" t="n"/>
    </row>
    <row r="285">
      <c r="A285" s="28" t="n"/>
      <c r="B285" s="10" t="n"/>
      <c r="C285" s="10" t="n"/>
      <c r="D285" s="29" t="n"/>
      <c r="E285" s="10" t="n"/>
      <c r="F285" s="5" t="n"/>
    </row>
    <row r="286">
      <c r="A286" s="28" t="n"/>
      <c r="B286" s="10" t="n"/>
      <c r="C286" s="10" t="n"/>
      <c r="D286" s="29" t="n"/>
      <c r="E286" s="10" t="n"/>
      <c r="F286" s="5" t="n"/>
    </row>
    <row r="287">
      <c r="A287" s="28" t="n"/>
      <c r="B287" s="10" t="n"/>
      <c r="C287" s="10" t="n"/>
      <c r="D287" s="29" t="n"/>
      <c r="E287" s="10" t="n"/>
      <c r="F287" s="5" t="n"/>
    </row>
    <row r="288">
      <c r="A288" s="28" t="n"/>
      <c r="B288" s="10" t="n"/>
      <c r="C288" s="10" t="n"/>
      <c r="D288" s="29" t="n"/>
      <c r="E288" s="10" t="n"/>
      <c r="F288" s="5" t="n"/>
    </row>
    <row r="289">
      <c r="A289" s="28" t="n"/>
      <c r="B289" s="10" t="n"/>
      <c r="C289" s="10" t="n"/>
      <c r="D289" s="29" t="n"/>
      <c r="E289" s="10" t="n"/>
      <c r="F289" s="5" t="n"/>
    </row>
    <row r="290">
      <c r="A290" s="28" t="n"/>
      <c r="B290" s="10" t="n"/>
      <c r="C290" s="10" t="n"/>
      <c r="D290" s="29" t="n"/>
      <c r="E290" s="10" t="n"/>
      <c r="F290" s="5" t="n"/>
    </row>
    <row r="291">
      <c r="A291" s="28" t="n"/>
      <c r="B291" s="10" t="n"/>
      <c r="C291" s="10" t="n"/>
      <c r="D291" s="29" t="n"/>
      <c r="E291" s="10" t="n"/>
      <c r="F291" s="5" t="n"/>
    </row>
    <row r="292">
      <c r="A292" s="28" t="n"/>
      <c r="B292" s="10" t="n"/>
      <c r="C292" s="10" t="n"/>
      <c r="D292" s="29" t="n"/>
      <c r="E292" s="10" t="n"/>
      <c r="F292" s="5" t="n"/>
    </row>
    <row r="293">
      <c r="A293" s="28" t="n"/>
      <c r="B293" s="10" t="n"/>
      <c r="C293" s="10" t="n"/>
      <c r="D293" s="29" t="n"/>
      <c r="E293" s="10" t="n"/>
      <c r="F293" s="5" t="n"/>
    </row>
    <row r="294">
      <c r="A294" s="28" t="n"/>
      <c r="B294" s="10" t="n"/>
      <c r="C294" s="10" t="n"/>
      <c r="D294" s="29" t="n"/>
      <c r="E294" s="10" t="n"/>
      <c r="F294" s="5" t="n"/>
    </row>
    <row r="295">
      <c r="A295" s="28" t="n"/>
      <c r="B295" s="10" t="n"/>
      <c r="C295" s="10" t="n"/>
      <c r="D295" s="29" t="n"/>
      <c r="E295" s="10" t="n"/>
      <c r="F295" s="5" t="n"/>
    </row>
    <row r="296">
      <c r="A296" s="28" t="n"/>
      <c r="B296" s="10" t="n"/>
      <c r="C296" s="10" t="n"/>
      <c r="D296" s="29" t="n"/>
      <c r="E296" s="10" t="n"/>
      <c r="F296" s="5" t="n"/>
    </row>
    <row r="297">
      <c r="A297" s="28" t="n"/>
      <c r="B297" s="10" t="n"/>
      <c r="C297" s="10" t="n"/>
      <c r="D297" s="29" t="n"/>
      <c r="E297" s="10" t="n"/>
      <c r="F297" s="5" t="n"/>
    </row>
    <row r="298">
      <c r="A298" s="28" t="n"/>
      <c r="B298" s="10" t="n"/>
      <c r="C298" s="10" t="n"/>
      <c r="D298" s="29" t="n"/>
      <c r="E298" s="10" t="n"/>
      <c r="F298" s="5" t="n"/>
    </row>
    <row r="299">
      <c r="A299" s="28" t="n"/>
      <c r="B299" s="10" t="n"/>
      <c r="C299" s="10" t="n"/>
      <c r="D299" s="29" t="n"/>
      <c r="E299" s="10" t="n"/>
      <c r="F299" s="5" t="n"/>
    </row>
    <row r="300">
      <c r="A300" s="28" t="n"/>
      <c r="B300" s="10" t="n"/>
      <c r="C300" s="10" t="n"/>
      <c r="D300" s="29" t="n"/>
      <c r="E300" s="10" t="n"/>
      <c r="F300" s="5" t="n"/>
    </row>
  </sheetData>
  <dataValidations count="1">
    <dataValidation sqref="C12:C1000" showDropDown="0" showInputMessage="0" showErrorMessage="0" allowBlank="0" type="list">
      <formula1>=Parametros!$F$5:$F$6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3" customWidth="1" min="4" max="4"/>
    <col width="15" customWidth="1" min="5" max="5"/>
    <col width="13" customWidth="1" min="6" max="6"/>
    <col width="20" customWidth="1" min="7" max="7"/>
    <col width="20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4" t="inlineStr">
        <is>
          <t>Proyectos y reparto por trabajo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>
      <c r="A2" s="23" t="inlineStr">
        <is>
          <t>Una fila por proyecto (o por cada mes de un cliente recurrente). Llenen solo las columnas A–I (azules). El resto se calcula.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42" customHeight="1">
      <c r="A4" s="17" t="inlineStr">
        <is>
          <t>ID proyecto</t>
        </is>
      </c>
      <c r="B4" s="17" t="inlineStr">
        <is>
          <t>Cliente</t>
        </is>
      </c>
      <c r="C4" s="17" t="inlineStr">
        <is>
          <t>Tipo</t>
        </is>
      </c>
      <c r="D4" s="17" t="inlineStr">
        <is>
          <t>Fecha de cobro</t>
        </is>
      </c>
      <c r="E4" s="17" t="inlineStr">
        <is>
          <t>Ingreso cobrado sin IVA (USD)</t>
        </is>
      </c>
      <c r="F4" s="17" t="inlineStr">
        <is>
          <t>Costos directos (USD)</t>
        </is>
      </c>
      <c r="G4" s="17" t="inlineStr">
        <is>
          <t>Quién consiguió el cliente</t>
        </is>
      </c>
      <c r="H4" s="17" t="inlineStr">
        <is>
          <t>Líder del proyecto</t>
        </is>
      </c>
      <c r="I4" s="17" t="inlineStr">
        <is>
          <t>Nota</t>
        </is>
      </c>
      <c r="J4" s="17" t="inlineStr">
        <is>
          <t>Ingreso neto (USD)</t>
        </is>
      </c>
      <c r="K4" s="17" t="inlineStr">
        <is>
          <t>Horas socio 1</t>
        </is>
      </c>
      <c r="L4" s="17" t="inlineStr">
        <is>
          <t>Horas socio 2</t>
        </is>
      </c>
      <c r="M4" s="17" t="inlineStr">
        <is>
          <t>% ejecución socio 1</t>
        </is>
      </c>
      <c r="N4" s="17" t="inlineStr">
        <is>
          <t>Fondo Bouw (USD)</t>
        </is>
      </c>
      <c r="O4" s="17" t="inlineStr">
        <is>
          <t>Origen socio 1</t>
        </is>
      </c>
      <c r="P4" s="17" t="inlineStr">
        <is>
          <t>Origen socio 2</t>
        </is>
      </c>
      <c r="Q4" s="17" t="inlineStr">
        <is>
          <t>Líder socio 1</t>
        </is>
      </c>
      <c r="R4" s="17" t="inlineStr">
        <is>
          <t>Líder socio 2</t>
        </is>
      </c>
      <c r="S4" s="17" t="inlineStr">
        <is>
          <t>Ejecución socio 1</t>
        </is>
      </c>
      <c r="T4" s="17" t="inlineStr">
        <is>
          <t>Ejecución socio 2</t>
        </is>
      </c>
      <c r="U4" s="17" t="inlineStr">
        <is>
          <t>TOTAL trabajo socio 1 (USD)</t>
        </is>
      </c>
      <c r="V4" s="17" t="inlineStr">
        <is>
          <t>TOTAL trabajo socio 2 (USD)</t>
        </is>
      </c>
      <c r="W4" s="17" t="inlineStr">
        <is>
          <t>Control (debe ser 0)</t>
        </is>
      </c>
    </row>
    <row r="5">
      <c r="A5" s="10" t="inlineStr">
        <is>
          <t>P-001</t>
        </is>
      </c>
      <c r="B5" s="10" t="inlineStr">
        <is>
          <t>Distribuidora (ejemplo)</t>
        </is>
      </c>
      <c r="C5" s="10" t="inlineStr">
        <is>
          <t>Procesos</t>
        </is>
      </c>
      <c r="D5" s="28" t="n">
        <v>46326</v>
      </c>
      <c r="E5" s="30" t="n">
        <v>4000</v>
      </c>
      <c r="F5" s="30" t="n">
        <v>400</v>
      </c>
      <c r="G5" s="16">
        <f>Parametros!$B$5</f>
        <v/>
      </c>
      <c r="H5" s="16">
        <f>Parametros!$B$5</f>
        <v/>
      </c>
      <c r="I5" s="10" t="inlineStr">
        <is>
          <t>EJEMPLO</t>
        </is>
      </c>
      <c r="J5" s="18">
        <f>IF($E5="","",E5-F5)</f>
        <v/>
      </c>
      <c r="K5" s="31">
        <f>IF($A5="","",SUMIFS(Horas!$D:$D,Horas!$B:$B,$A5,Horas!$C:$C,Parametros!$B$5))</f>
        <v/>
      </c>
      <c r="L5" s="31">
        <f>IF($A5="","",SUMIFS(Horas!$D:$D,Horas!$B:$B,$A5,Horas!$C:$C,Parametros!$B$6))</f>
        <v/>
      </c>
      <c r="M5" s="22">
        <f>IF($E5="","",IF(N(K5)+N(L5)=0,Parametros!$C$5,N(K5)/(N(K5)+N(L5))))</f>
        <v/>
      </c>
      <c r="N5" s="18">
        <f>IF($E5="","",J5*Parametros!$B$11+IF(G5=Parametros!$B$16,J5*Parametros!$B$12,0))</f>
        <v/>
      </c>
      <c r="O5" s="18">
        <f>IF($E5="","",IF(G5=Parametros!$B$5,J5*Parametros!$B$12,0))</f>
        <v/>
      </c>
      <c r="P5" s="18">
        <f>IF($E5="","",IF(G5=Parametros!$B$6,J5*Parametros!$B$12,0))</f>
        <v/>
      </c>
      <c r="Q5" s="18">
        <f>IF($E5="","",IF(H5=Parametros!$B$5,J5*Parametros!$B$13,IF(H5=Parametros!$B$6,0,J5*Parametros!$B$13*Parametros!$C$5)))</f>
        <v/>
      </c>
      <c r="R5" s="18">
        <f>IF($E5="","",IF(H5=Parametros!$B$6,J5*Parametros!$B$13,IF(H5=Parametros!$B$5,0,J5*Parametros!$B$13*Parametros!$C$6)))</f>
        <v/>
      </c>
      <c r="S5" s="18">
        <f>IF($E5="","",J5*Parametros!$B$14*M5)</f>
        <v/>
      </c>
      <c r="T5" s="18">
        <f>IF($E5="","",J5*Parametros!$B$14*(1-M5))</f>
        <v/>
      </c>
      <c r="U5" s="18">
        <f>IF($E5="","",O5+Q5+S5)</f>
        <v/>
      </c>
      <c r="V5" s="18">
        <f>IF($E5="","",P5+R5+T5)</f>
        <v/>
      </c>
      <c r="W5" s="18">
        <f>IF($E5="","",ROUND(J5-N5-U5-V5,2))</f>
        <v/>
      </c>
    </row>
    <row r="6">
      <c r="A6" s="10" t="inlineStr">
        <is>
          <t>P-002</t>
        </is>
      </c>
      <c r="B6" s="10" t="inlineStr">
        <is>
          <t>Clínica (ejemplo)</t>
        </is>
      </c>
      <c r="C6" s="10" t="inlineStr">
        <is>
          <t>Seguridad</t>
        </is>
      </c>
      <c r="D6" s="28" t="n">
        <v>46356</v>
      </c>
      <c r="E6" s="30" t="n">
        <v>4000</v>
      </c>
      <c r="F6" s="30" t="n">
        <v>400</v>
      </c>
      <c r="G6" s="16">
        <f>Parametros!$B$6</f>
        <v/>
      </c>
      <c r="H6" s="16">
        <f>Parametros!$B$6</f>
        <v/>
      </c>
      <c r="I6" s="10" t="inlineStr">
        <is>
          <t>EJEMPLO</t>
        </is>
      </c>
      <c r="J6" s="18">
        <f>IF($E6="","",E6-F6)</f>
        <v/>
      </c>
      <c r="K6" s="31">
        <f>IF($A6="","",SUMIFS(Horas!$D:$D,Horas!$B:$B,$A6,Horas!$C:$C,Parametros!$B$5))</f>
        <v/>
      </c>
      <c r="L6" s="31">
        <f>IF($A6="","",SUMIFS(Horas!$D:$D,Horas!$B:$B,$A6,Horas!$C:$C,Parametros!$B$6))</f>
        <v/>
      </c>
      <c r="M6" s="22">
        <f>IF($E6="","",IF(N(K6)+N(L6)=0,Parametros!$C$5,N(K6)/(N(K6)+N(L6))))</f>
        <v/>
      </c>
      <c r="N6" s="18">
        <f>IF($E6="","",J6*Parametros!$B$11+IF(G6=Parametros!$B$16,J6*Parametros!$B$12,0))</f>
        <v/>
      </c>
      <c r="O6" s="18">
        <f>IF($E6="","",IF(G6=Parametros!$B$5,J6*Parametros!$B$12,0))</f>
        <v/>
      </c>
      <c r="P6" s="18">
        <f>IF($E6="","",IF(G6=Parametros!$B$6,J6*Parametros!$B$12,0))</f>
        <v/>
      </c>
      <c r="Q6" s="18">
        <f>IF($E6="","",IF(H6=Parametros!$B$5,J6*Parametros!$B$13,IF(H6=Parametros!$B$6,0,J6*Parametros!$B$13*Parametros!$C$5)))</f>
        <v/>
      </c>
      <c r="R6" s="18">
        <f>IF($E6="","",IF(H6=Parametros!$B$6,J6*Parametros!$B$13,IF(H6=Parametros!$B$5,0,J6*Parametros!$B$13*Parametros!$C$6)))</f>
        <v/>
      </c>
      <c r="S6" s="18">
        <f>IF($E6="","",J6*Parametros!$B$14*M6)</f>
        <v/>
      </c>
      <c r="T6" s="18">
        <f>IF($E6="","",J6*Parametros!$B$14*(1-M6))</f>
        <v/>
      </c>
      <c r="U6" s="18">
        <f>IF($E6="","",O6+Q6+S6)</f>
        <v/>
      </c>
      <c r="V6" s="18">
        <f>IF($E6="","",P6+R6+T6)</f>
        <v/>
      </c>
      <c r="W6" s="18">
        <f>IF($E6="","",ROUND(J6-N6-U6-V6,2))</f>
        <v/>
      </c>
    </row>
    <row r="7">
      <c r="A7" s="10" t="n"/>
      <c r="B7" s="10" t="n"/>
      <c r="C7" s="10" t="n"/>
      <c r="D7" s="28" t="n"/>
      <c r="E7" s="30" t="n"/>
      <c r="F7" s="30" t="n"/>
      <c r="G7" s="10" t="n"/>
      <c r="H7" s="10" t="n"/>
      <c r="I7" s="10" t="n"/>
      <c r="J7" s="18">
        <f>IF($E7="","",E7-F7)</f>
        <v/>
      </c>
      <c r="K7" s="31">
        <f>IF($A7="","",SUMIFS(Horas!$D:$D,Horas!$B:$B,$A7,Horas!$C:$C,Parametros!$B$5))</f>
        <v/>
      </c>
      <c r="L7" s="31">
        <f>IF($A7="","",SUMIFS(Horas!$D:$D,Horas!$B:$B,$A7,Horas!$C:$C,Parametros!$B$6))</f>
        <v/>
      </c>
      <c r="M7" s="22">
        <f>IF($E7="","",IF(N(K7)+N(L7)=0,Parametros!$C$5,N(K7)/(N(K7)+N(L7))))</f>
        <v/>
      </c>
      <c r="N7" s="18">
        <f>IF($E7="","",J7*Parametros!$B$11+IF(G7=Parametros!$B$16,J7*Parametros!$B$12,0))</f>
        <v/>
      </c>
      <c r="O7" s="18">
        <f>IF($E7="","",IF(G7=Parametros!$B$5,J7*Parametros!$B$12,0))</f>
        <v/>
      </c>
      <c r="P7" s="18">
        <f>IF($E7="","",IF(G7=Parametros!$B$6,J7*Parametros!$B$12,0))</f>
        <v/>
      </c>
      <c r="Q7" s="18">
        <f>IF($E7="","",IF(H7=Parametros!$B$5,J7*Parametros!$B$13,IF(H7=Parametros!$B$6,0,J7*Parametros!$B$13*Parametros!$C$5)))</f>
        <v/>
      </c>
      <c r="R7" s="18">
        <f>IF($E7="","",IF(H7=Parametros!$B$6,J7*Parametros!$B$13,IF(H7=Parametros!$B$5,0,J7*Parametros!$B$13*Parametros!$C$6)))</f>
        <v/>
      </c>
      <c r="S7" s="18">
        <f>IF($E7="","",J7*Parametros!$B$14*M7)</f>
        <v/>
      </c>
      <c r="T7" s="18">
        <f>IF($E7="","",J7*Parametros!$B$14*(1-M7))</f>
        <v/>
      </c>
      <c r="U7" s="18">
        <f>IF($E7="","",O7+Q7+S7)</f>
        <v/>
      </c>
      <c r="V7" s="18">
        <f>IF($E7="","",P7+R7+T7)</f>
        <v/>
      </c>
      <c r="W7" s="18">
        <f>IF($E7="","",ROUND(J7-N7-U7-V7,2))</f>
        <v/>
      </c>
    </row>
    <row r="8">
      <c r="A8" s="10" t="n"/>
      <c r="B8" s="10" t="n"/>
      <c r="C8" s="10" t="n"/>
      <c r="D8" s="28" t="n"/>
      <c r="E8" s="30" t="n"/>
      <c r="F8" s="30" t="n"/>
      <c r="G8" s="10" t="n"/>
      <c r="H8" s="10" t="n"/>
      <c r="I8" s="10" t="n"/>
      <c r="J8" s="18">
        <f>IF($E8="","",E8-F8)</f>
        <v/>
      </c>
      <c r="K8" s="31">
        <f>IF($A8="","",SUMIFS(Horas!$D:$D,Horas!$B:$B,$A8,Horas!$C:$C,Parametros!$B$5))</f>
        <v/>
      </c>
      <c r="L8" s="31">
        <f>IF($A8="","",SUMIFS(Horas!$D:$D,Horas!$B:$B,$A8,Horas!$C:$C,Parametros!$B$6))</f>
        <v/>
      </c>
      <c r="M8" s="22">
        <f>IF($E8="","",IF(N(K8)+N(L8)=0,Parametros!$C$5,N(K8)/(N(K8)+N(L8))))</f>
        <v/>
      </c>
      <c r="N8" s="18">
        <f>IF($E8="","",J8*Parametros!$B$11+IF(G8=Parametros!$B$16,J8*Parametros!$B$12,0))</f>
        <v/>
      </c>
      <c r="O8" s="18">
        <f>IF($E8="","",IF(G8=Parametros!$B$5,J8*Parametros!$B$12,0))</f>
        <v/>
      </c>
      <c r="P8" s="18">
        <f>IF($E8="","",IF(G8=Parametros!$B$6,J8*Parametros!$B$12,0))</f>
        <v/>
      </c>
      <c r="Q8" s="18">
        <f>IF($E8="","",IF(H8=Parametros!$B$5,J8*Parametros!$B$13,IF(H8=Parametros!$B$6,0,J8*Parametros!$B$13*Parametros!$C$5)))</f>
        <v/>
      </c>
      <c r="R8" s="18">
        <f>IF($E8="","",IF(H8=Parametros!$B$6,J8*Parametros!$B$13,IF(H8=Parametros!$B$5,0,J8*Parametros!$B$13*Parametros!$C$6)))</f>
        <v/>
      </c>
      <c r="S8" s="18">
        <f>IF($E8="","",J8*Parametros!$B$14*M8)</f>
        <v/>
      </c>
      <c r="T8" s="18">
        <f>IF($E8="","",J8*Parametros!$B$14*(1-M8))</f>
        <v/>
      </c>
      <c r="U8" s="18">
        <f>IF($E8="","",O8+Q8+S8)</f>
        <v/>
      </c>
      <c r="V8" s="18">
        <f>IF($E8="","",P8+R8+T8)</f>
        <v/>
      </c>
      <c r="W8" s="18">
        <f>IF($E8="","",ROUND(J8-N8-U8-V8,2))</f>
        <v/>
      </c>
    </row>
    <row r="9">
      <c r="A9" s="10" t="n"/>
      <c r="B9" s="10" t="n"/>
      <c r="C9" s="10" t="n"/>
      <c r="D9" s="28" t="n"/>
      <c r="E9" s="30" t="n"/>
      <c r="F9" s="30" t="n"/>
      <c r="G9" s="10" t="n"/>
      <c r="H9" s="10" t="n"/>
      <c r="I9" s="10" t="n"/>
      <c r="J9" s="18">
        <f>IF($E9="","",E9-F9)</f>
        <v/>
      </c>
      <c r="K9" s="31">
        <f>IF($A9="","",SUMIFS(Horas!$D:$D,Horas!$B:$B,$A9,Horas!$C:$C,Parametros!$B$5))</f>
        <v/>
      </c>
      <c r="L9" s="31">
        <f>IF($A9="","",SUMIFS(Horas!$D:$D,Horas!$B:$B,$A9,Horas!$C:$C,Parametros!$B$6))</f>
        <v/>
      </c>
      <c r="M9" s="22">
        <f>IF($E9="","",IF(N(K9)+N(L9)=0,Parametros!$C$5,N(K9)/(N(K9)+N(L9))))</f>
        <v/>
      </c>
      <c r="N9" s="18">
        <f>IF($E9="","",J9*Parametros!$B$11+IF(G9=Parametros!$B$16,J9*Parametros!$B$12,0))</f>
        <v/>
      </c>
      <c r="O9" s="18">
        <f>IF($E9="","",IF(G9=Parametros!$B$5,J9*Parametros!$B$12,0))</f>
        <v/>
      </c>
      <c r="P9" s="18">
        <f>IF($E9="","",IF(G9=Parametros!$B$6,J9*Parametros!$B$12,0))</f>
        <v/>
      </c>
      <c r="Q9" s="18">
        <f>IF($E9="","",IF(H9=Parametros!$B$5,J9*Parametros!$B$13,IF(H9=Parametros!$B$6,0,J9*Parametros!$B$13*Parametros!$C$5)))</f>
        <v/>
      </c>
      <c r="R9" s="18">
        <f>IF($E9="","",IF(H9=Parametros!$B$6,J9*Parametros!$B$13,IF(H9=Parametros!$B$5,0,J9*Parametros!$B$13*Parametros!$C$6)))</f>
        <v/>
      </c>
      <c r="S9" s="18">
        <f>IF($E9="","",J9*Parametros!$B$14*M9)</f>
        <v/>
      </c>
      <c r="T9" s="18">
        <f>IF($E9="","",J9*Parametros!$B$14*(1-M9))</f>
        <v/>
      </c>
      <c r="U9" s="18">
        <f>IF($E9="","",O9+Q9+S9)</f>
        <v/>
      </c>
      <c r="V9" s="18">
        <f>IF($E9="","",P9+R9+T9)</f>
        <v/>
      </c>
      <c r="W9" s="18">
        <f>IF($E9="","",ROUND(J9-N9-U9-V9,2))</f>
        <v/>
      </c>
    </row>
    <row r="10">
      <c r="A10" s="10" t="n"/>
      <c r="B10" s="10" t="n"/>
      <c r="C10" s="10" t="n"/>
      <c r="D10" s="28" t="n"/>
      <c r="E10" s="30" t="n"/>
      <c r="F10" s="30" t="n"/>
      <c r="G10" s="10" t="n"/>
      <c r="H10" s="10" t="n"/>
      <c r="I10" s="10" t="n"/>
      <c r="J10" s="18">
        <f>IF($E10="","",E10-F10)</f>
        <v/>
      </c>
      <c r="K10" s="31">
        <f>IF($A10="","",SUMIFS(Horas!$D:$D,Horas!$B:$B,$A10,Horas!$C:$C,Parametros!$B$5))</f>
        <v/>
      </c>
      <c r="L10" s="31">
        <f>IF($A10="","",SUMIFS(Horas!$D:$D,Horas!$B:$B,$A10,Horas!$C:$C,Parametros!$B$6))</f>
        <v/>
      </c>
      <c r="M10" s="22">
        <f>IF($E10="","",IF(N(K10)+N(L10)=0,Parametros!$C$5,N(K10)/(N(K10)+N(L10))))</f>
        <v/>
      </c>
      <c r="N10" s="18">
        <f>IF($E10="","",J10*Parametros!$B$11+IF(G10=Parametros!$B$16,J10*Parametros!$B$12,0))</f>
        <v/>
      </c>
      <c r="O10" s="18">
        <f>IF($E10="","",IF(G10=Parametros!$B$5,J10*Parametros!$B$12,0))</f>
        <v/>
      </c>
      <c r="P10" s="18">
        <f>IF($E10="","",IF(G10=Parametros!$B$6,J10*Parametros!$B$12,0))</f>
        <v/>
      </c>
      <c r="Q10" s="18">
        <f>IF($E10="","",IF(H10=Parametros!$B$5,J10*Parametros!$B$13,IF(H10=Parametros!$B$6,0,J10*Parametros!$B$13*Parametros!$C$5)))</f>
        <v/>
      </c>
      <c r="R10" s="18">
        <f>IF($E10="","",IF(H10=Parametros!$B$6,J10*Parametros!$B$13,IF(H10=Parametros!$B$5,0,J10*Parametros!$B$13*Parametros!$C$6)))</f>
        <v/>
      </c>
      <c r="S10" s="18">
        <f>IF($E10="","",J10*Parametros!$B$14*M10)</f>
        <v/>
      </c>
      <c r="T10" s="18">
        <f>IF($E10="","",J10*Parametros!$B$14*(1-M10))</f>
        <v/>
      </c>
      <c r="U10" s="18">
        <f>IF($E10="","",O10+Q10+S10)</f>
        <v/>
      </c>
      <c r="V10" s="18">
        <f>IF($E10="","",P10+R10+T10)</f>
        <v/>
      </c>
      <c r="W10" s="18">
        <f>IF($E10="","",ROUND(J10-N10-U10-V10,2))</f>
        <v/>
      </c>
    </row>
    <row r="11">
      <c r="A11" s="10" t="n"/>
      <c r="B11" s="10" t="n"/>
      <c r="C11" s="10" t="n"/>
      <c r="D11" s="28" t="n"/>
      <c r="E11" s="30" t="n"/>
      <c r="F11" s="30" t="n"/>
      <c r="G11" s="10" t="n"/>
      <c r="H11" s="10" t="n"/>
      <c r="I11" s="10" t="n"/>
      <c r="J11" s="18">
        <f>IF($E11="","",E11-F11)</f>
        <v/>
      </c>
      <c r="K11" s="31">
        <f>IF($A11="","",SUMIFS(Horas!$D:$D,Horas!$B:$B,$A11,Horas!$C:$C,Parametros!$B$5))</f>
        <v/>
      </c>
      <c r="L11" s="31">
        <f>IF($A11="","",SUMIFS(Horas!$D:$D,Horas!$B:$B,$A11,Horas!$C:$C,Parametros!$B$6))</f>
        <v/>
      </c>
      <c r="M11" s="22">
        <f>IF($E11="","",IF(N(K11)+N(L11)=0,Parametros!$C$5,N(K11)/(N(K11)+N(L11))))</f>
        <v/>
      </c>
      <c r="N11" s="18">
        <f>IF($E11="","",J11*Parametros!$B$11+IF(G11=Parametros!$B$16,J11*Parametros!$B$12,0))</f>
        <v/>
      </c>
      <c r="O11" s="18">
        <f>IF($E11="","",IF(G11=Parametros!$B$5,J11*Parametros!$B$12,0))</f>
        <v/>
      </c>
      <c r="P11" s="18">
        <f>IF($E11="","",IF(G11=Parametros!$B$6,J11*Parametros!$B$12,0))</f>
        <v/>
      </c>
      <c r="Q11" s="18">
        <f>IF($E11="","",IF(H11=Parametros!$B$5,J11*Parametros!$B$13,IF(H11=Parametros!$B$6,0,J11*Parametros!$B$13*Parametros!$C$5)))</f>
        <v/>
      </c>
      <c r="R11" s="18">
        <f>IF($E11="","",IF(H11=Parametros!$B$6,J11*Parametros!$B$13,IF(H11=Parametros!$B$5,0,J11*Parametros!$B$13*Parametros!$C$6)))</f>
        <v/>
      </c>
      <c r="S11" s="18">
        <f>IF($E11="","",J11*Parametros!$B$14*M11)</f>
        <v/>
      </c>
      <c r="T11" s="18">
        <f>IF($E11="","",J11*Parametros!$B$14*(1-M11))</f>
        <v/>
      </c>
      <c r="U11" s="18">
        <f>IF($E11="","",O11+Q11+S11)</f>
        <v/>
      </c>
      <c r="V11" s="18">
        <f>IF($E11="","",P11+R11+T11)</f>
        <v/>
      </c>
      <c r="W11" s="18">
        <f>IF($E11="","",ROUND(J11-N11-U11-V11,2))</f>
        <v/>
      </c>
    </row>
    <row r="12">
      <c r="A12" s="10" t="n"/>
      <c r="B12" s="10" t="n"/>
      <c r="C12" s="10" t="n"/>
      <c r="D12" s="28" t="n"/>
      <c r="E12" s="30" t="n"/>
      <c r="F12" s="30" t="n"/>
      <c r="G12" s="10" t="n"/>
      <c r="H12" s="10" t="n"/>
      <c r="I12" s="10" t="n"/>
      <c r="J12" s="18">
        <f>IF($E12="","",E12-F12)</f>
        <v/>
      </c>
      <c r="K12" s="31">
        <f>IF($A12="","",SUMIFS(Horas!$D:$D,Horas!$B:$B,$A12,Horas!$C:$C,Parametros!$B$5))</f>
        <v/>
      </c>
      <c r="L12" s="31">
        <f>IF($A12="","",SUMIFS(Horas!$D:$D,Horas!$B:$B,$A12,Horas!$C:$C,Parametros!$B$6))</f>
        <v/>
      </c>
      <c r="M12" s="22">
        <f>IF($E12="","",IF(N(K12)+N(L12)=0,Parametros!$C$5,N(K12)/(N(K12)+N(L12))))</f>
        <v/>
      </c>
      <c r="N12" s="18">
        <f>IF($E12="","",J12*Parametros!$B$11+IF(G12=Parametros!$B$16,J12*Parametros!$B$12,0))</f>
        <v/>
      </c>
      <c r="O12" s="18">
        <f>IF($E12="","",IF(G12=Parametros!$B$5,J12*Parametros!$B$12,0))</f>
        <v/>
      </c>
      <c r="P12" s="18">
        <f>IF($E12="","",IF(G12=Parametros!$B$6,J12*Parametros!$B$12,0))</f>
        <v/>
      </c>
      <c r="Q12" s="18">
        <f>IF($E12="","",IF(H12=Parametros!$B$5,J12*Parametros!$B$13,IF(H12=Parametros!$B$6,0,J12*Parametros!$B$13*Parametros!$C$5)))</f>
        <v/>
      </c>
      <c r="R12" s="18">
        <f>IF($E12="","",IF(H12=Parametros!$B$6,J12*Parametros!$B$13,IF(H12=Parametros!$B$5,0,J12*Parametros!$B$13*Parametros!$C$6)))</f>
        <v/>
      </c>
      <c r="S12" s="18">
        <f>IF($E12="","",J12*Parametros!$B$14*M12)</f>
        <v/>
      </c>
      <c r="T12" s="18">
        <f>IF($E12="","",J12*Parametros!$B$14*(1-M12))</f>
        <v/>
      </c>
      <c r="U12" s="18">
        <f>IF($E12="","",O12+Q12+S12)</f>
        <v/>
      </c>
      <c r="V12" s="18">
        <f>IF($E12="","",P12+R12+T12)</f>
        <v/>
      </c>
      <c r="W12" s="18">
        <f>IF($E12="","",ROUND(J12-N12-U12-V12,2))</f>
        <v/>
      </c>
    </row>
    <row r="13">
      <c r="A13" s="10" t="n"/>
      <c r="B13" s="10" t="n"/>
      <c r="C13" s="10" t="n"/>
      <c r="D13" s="28" t="n"/>
      <c r="E13" s="30" t="n"/>
      <c r="F13" s="30" t="n"/>
      <c r="G13" s="10" t="n"/>
      <c r="H13" s="10" t="n"/>
      <c r="I13" s="10" t="n"/>
      <c r="J13" s="18">
        <f>IF($E13="","",E13-F13)</f>
        <v/>
      </c>
      <c r="K13" s="31">
        <f>IF($A13="","",SUMIFS(Horas!$D:$D,Horas!$B:$B,$A13,Horas!$C:$C,Parametros!$B$5))</f>
        <v/>
      </c>
      <c r="L13" s="31">
        <f>IF($A13="","",SUMIFS(Horas!$D:$D,Horas!$B:$B,$A13,Horas!$C:$C,Parametros!$B$6))</f>
        <v/>
      </c>
      <c r="M13" s="22">
        <f>IF($E13="","",IF(N(K13)+N(L13)=0,Parametros!$C$5,N(K13)/(N(K13)+N(L13))))</f>
        <v/>
      </c>
      <c r="N13" s="18">
        <f>IF($E13="","",J13*Parametros!$B$11+IF(G13=Parametros!$B$16,J13*Parametros!$B$12,0))</f>
        <v/>
      </c>
      <c r="O13" s="18">
        <f>IF($E13="","",IF(G13=Parametros!$B$5,J13*Parametros!$B$12,0))</f>
        <v/>
      </c>
      <c r="P13" s="18">
        <f>IF($E13="","",IF(G13=Parametros!$B$6,J13*Parametros!$B$12,0))</f>
        <v/>
      </c>
      <c r="Q13" s="18">
        <f>IF($E13="","",IF(H13=Parametros!$B$5,J13*Parametros!$B$13,IF(H13=Parametros!$B$6,0,J13*Parametros!$B$13*Parametros!$C$5)))</f>
        <v/>
      </c>
      <c r="R13" s="18">
        <f>IF($E13="","",IF(H13=Parametros!$B$6,J13*Parametros!$B$13,IF(H13=Parametros!$B$5,0,J13*Parametros!$B$13*Parametros!$C$6)))</f>
        <v/>
      </c>
      <c r="S13" s="18">
        <f>IF($E13="","",J13*Parametros!$B$14*M13)</f>
        <v/>
      </c>
      <c r="T13" s="18">
        <f>IF($E13="","",J13*Parametros!$B$14*(1-M13))</f>
        <v/>
      </c>
      <c r="U13" s="18">
        <f>IF($E13="","",O13+Q13+S13)</f>
        <v/>
      </c>
      <c r="V13" s="18">
        <f>IF($E13="","",P13+R13+T13)</f>
        <v/>
      </c>
      <c r="W13" s="18">
        <f>IF($E13="","",ROUND(J13-N13-U13-V13,2))</f>
        <v/>
      </c>
    </row>
    <row r="14">
      <c r="A14" s="10" t="n"/>
      <c r="B14" s="10" t="n"/>
      <c r="C14" s="10" t="n"/>
      <c r="D14" s="28" t="n"/>
      <c r="E14" s="30" t="n"/>
      <c r="F14" s="30" t="n"/>
      <c r="G14" s="10" t="n"/>
      <c r="H14" s="10" t="n"/>
      <c r="I14" s="10" t="n"/>
      <c r="J14" s="18">
        <f>IF($E14="","",E14-F14)</f>
        <v/>
      </c>
      <c r="K14" s="31">
        <f>IF($A14="","",SUMIFS(Horas!$D:$D,Horas!$B:$B,$A14,Horas!$C:$C,Parametros!$B$5))</f>
        <v/>
      </c>
      <c r="L14" s="31">
        <f>IF($A14="","",SUMIFS(Horas!$D:$D,Horas!$B:$B,$A14,Horas!$C:$C,Parametros!$B$6))</f>
        <v/>
      </c>
      <c r="M14" s="22">
        <f>IF($E14="","",IF(N(K14)+N(L14)=0,Parametros!$C$5,N(K14)/(N(K14)+N(L14))))</f>
        <v/>
      </c>
      <c r="N14" s="18">
        <f>IF($E14="","",J14*Parametros!$B$11+IF(G14=Parametros!$B$16,J14*Parametros!$B$12,0))</f>
        <v/>
      </c>
      <c r="O14" s="18">
        <f>IF($E14="","",IF(G14=Parametros!$B$5,J14*Parametros!$B$12,0))</f>
        <v/>
      </c>
      <c r="P14" s="18">
        <f>IF($E14="","",IF(G14=Parametros!$B$6,J14*Parametros!$B$12,0))</f>
        <v/>
      </c>
      <c r="Q14" s="18">
        <f>IF($E14="","",IF(H14=Parametros!$B$5,J14*Parametros!$B$13,IF(H14=Parametros!$B$6,0,J14*Parametros!$B$13*Parametros!$C$5)))</f>
        <v/>
      </c>
      <c r="R14" s="18">
        <f>IF($E14="","",IF(H14=Parametros!$B$6,J14*Parametros!$B$13,IF(H14=Parametros!$B$5,0,J14*Parametros!$B$13*Parametros!$C$6)))</f>
        <v/>
      </c>
      <c r="S14" s="18">
        <f>IF($E14="","",J14*Parametros!$B$14*M14)</f>
        <v/>
      </c>
      <c r="T14" s="18">
        <f>IF($E14="","",J14*Parametros!$B$14*(1-M14))</f>
        <v/>
      </c>
      <c r="U14" s="18">
        <f>IF($E14="","",O14+Q14+S14)</f>
        <v/>
      </c>
      <c r="V14" s="18">
        <f>IF($E14="","",P14+R14+T14)</f>
        <v/>
      </c>
      <c r="W14" s="18">
        <f>IF($E14="","",ROUND(J14-N14-U14-V14,2))</f>
        <v/>
      </c>
    </row>
    <row r="15">
      <c r="A15" s="10" t="n"/>
      <c r="B15" s="10" t="n"/>
      <c r="C15" s="10" t="n"/>
      <c r="D15" s="28" t="n"/>
      <c r="E15" s="30" t="n"/>
      <c r="F15" s="30" t="n"/>
      <c r="G15" s="10" t="n"/>
      <c r="H15" s="10" t="n"/>
      <c r="I15" s="10" t="n"/>
      <c r="J15" s="18">
        <f>IF($E15="","",E15-F15)</f>
        <v/>
      </c>
      <c r="K15" s="31">
        <f>IF($A15="","",SUMIFS(Horas!$D:$D,Horas!$B:$B,$A15,Horas!$C:$C,Parametros!$B$5))</f>
        <v/>
      </c>
      <c r="L15" s="31">
        <f>IF($A15="","",SUMIFS(Horas!$D:$D,Horas!$B:$B,$A15,Horas!$C:$C,Parametros!$B$6))</f>
        <v/>
      </c>
      <c r="M15" s="22">
        <f>IF($E15="","",IF(N(K15)+N(L15)=0,Parametros!$C$5,N(K15)/(N(K15)+N(L15))))</f>
        <v/>
      </c>
      <c r="N15" s="18">
        <f>IF($E15="","",J15*Parametros!$B$11+IF(G15=Parametros!$B$16,J15*Parametros!$B$12,0))</f>
        <v/>
      </c>
      <c r="O15" s="18">
        <f>IF($E15="","",IF(G15=Parametros!$B$5,J15*Parametros!$B$12,0))</f>
        <v/>
      </c>
      <c r="P15" s="18">
        <f>IF($E15="","",IF(G15=Parametros!$B$6,J15*Parametros!$B$12,0))</f>
        <v/>
      </c>
      <c r="Q15" s="18">
        <f>IF($E15="","",IF(H15=Parametros!$B$5,J15*Parametros!$B$13,IF(H15=Parametros!$B$6,0,J15*Parametros!$B$13*Parametros!$C$5)))</f>
        <v/>
      </c>
      <c r="R15" s="18">
        <f>IF($E15="","",IF(H15=Parametros!$B$6,J15*Parametros!$B$13,IF(H15=Parametros!$B$5,0,J15*Parametros!$B$13*Parametros!$C$6)))</f>
        <v/>
      </c>
      <c r="S15" s="18">
        <f>IF($E15="","",J15*Parametros!$B$14*M15)</f>
        <v/>
      </c>
      <c r="T15" s="18">
        <f>IF($E15="","",J15*Parametros!$B$14*(1-M15))</f>
        <v/>
      </c>
      <c r="U15" s="18">
        <f>IF($E15="","",O15+Q15+S15)</f>
        <v/>
      </c>
      <c r="V15" s="18">
        <f>IF($E15="","",P15+R15+T15)</f>
        <v/>
      </c>
      <c r="W15" s="18">
        <f>IF($E15="","",ROUND(J15-N15-U15-V15,2))</f>
        <v/>
      </c>
    </row>
    <row r="16">
      <c r="A16" s="10" t="n"/>
      <c r="B16" s="10" t="n"/>
      <c r="C16" s="10" t="n"/>
      <c r="D16" s="28" t="n"/>
      <c r="E16" s="30" t="n"/>
      <c r="F16" s="30" t="n"/>
      <c r="G16" s="10" t="n"/>
      <c r="H16" s="10" t="n"/>
      <c r="I16" s="10" t="n"/>
      <c r="J16" s="18">
        <f>IF($E16="","",E16-F16)</f>
        <v/>
      </c>
      <c r="K16" s="31">
        <f>IF($A16="","",SUMIFS(Horas!$D:$D,Horas!$B:$B,$A16,Horas!$C:$C,Parametros!$B$5))</f>
        <v/>
      </c>
      <c r="L16" s="31">
        <f>IF($A16="","",SUMIFS(Horas!$D:$D,Horas!$B:$B,$A16,Horas!$C:$C,Parametros!$B$6))</f>
        <v/>
      </c>
      <c r="M16" s="22">
        <f>IF($E16="","",IF(N(K16)+N(L16)=0,Parametros!$C$5,N(K16)/(N(K16)+N(L16))))</f>
        <v/>
      </c>
      <c r="N16" s="18">
        <f>IF($E16="","",J16*Parametros!$B$11+IF(G16=Parametros!$B$16,J16*Parametros!$B$12,0))</f>
        <v/>
      </c>
      <c r="O16" s="18">
        <f>IF($E16="","",IF(G16=Parametros!$B$5,J16*Parametros!$B$12,0))</f>
        <v/>
      </c>
      <c r="P16" s="18">
        <f>IF($E16="","",IF(G16=Parametros!$B$6,J16*Parametros!$B$12,0))</f>
        <v/>
      </c>
      <c r="Q16" s="18">
        <f>IF($E16="","",IF(H16=Parametros!$B$5,J16*Parametros!$B$13,IF(H16=Parametros!$B$6,0,J16*Parametros!$B$13*Parametros!$C$5)))</f>
        <v/>
      </c>
      <c r="R16" s="18">
        <f>IF($E16="","",IF(H16=Parametros!$B$6,J16*Parametros!$B$13,IF(H16=Parametros!$B$5,0,J16*Parametros!$B$13*Parametros!$C$6)))</f>
        <v/>
      </c>
      <c r="S16" s="18">
        <f>IF($E16="","",J16*Parametros!$B$14*M16)</f>
        <v/>
      </c>
      <c r="T16" s="18">
        <f>IF($E16="","",J16*Parametros!$B$14*(1-M16))</f>
        <v/>
      </c>
      <c r="U16" s="18">
        <f>IF($E16="","",O16+Q16+S16)</f>
        <v/>
      </c>
      <c r="V16" s="18">
        <f>IF($E16="","",P16+R16+T16)</f>
        <v/>
      </c>
      <c r="W16" s="18">
        <f>IF($E16="","",ROUND(J16-N16-U16-V16,2))</f>
        <v/>
      </c>
    </row>
    <row r="17">
      <c r="A17" s="10" t="n"/>
      <c r="B17" s="10" t="n"/>
      <c r="C17" s="10" t="n"/>
      <c r="D17" s="28" t="n"/>
      <c r="E17" s="30" t="n"/>
      <c r="F17" s="30" t="n"/>
      <c r="G17" s="10" t="n"/>
      <c r="H17" s="10" t="n"/>
      <c r="I17" s="10" t="n"/>
      <c r="J17" s="18">
        <f>IF($E17="","",E17-F17)</f>
        <v/>
      </c>
      <c r="K17" s="31">
        <f>IF($A17="","",SUMIFS(Horas!$D:$D,Horas!$B:$B,$A17,Horas!$C:$C,Parametros!$B$5))</f>
        <v/>
      </c>
      <c r="L17" s="31">
        <f>IF($A17="","",SUMIFS(Horas!$D:$D,Horas!$B:$B,$A17,Horas!$C:$C,Parametros!$B$6))</f>
        <v/>
      </c>
      <c r="M17" s="22">
        <f>IF($E17="","",IF(N(K17)+N(L17)=0,Parametros!$C$5,N(K17)/(N(K17)+N(L17))))</f>
        <v/>
      </c>
      <c r="N17" s="18">
        <f>IF($E17="","",J17*Parametros!$B$11+IF(G17=Parametros!$B$16,J17*Parametros!$B$12,0))</f>
        <v/>
      </c>
      <c r="O17" s="18">
        <f>IF($E17="","",IF(G17=Parametros!$B$5,J17*Parametros!$B$12,0))</f>
        <v/>
      </c>
      <c r="P17" s="18">
        <f>IF($E17="","",IF(G17=Parametros!$B$6,J17*Parametros!$B$12,0))</f>
        <v/>
      </c>
      <c r="Q17" s="18">
        <f>IF($E17="","",IF(H17=Parametros!$B$5,J17*Parametros!$B$13,IF(H17=Parametros!$B$6,0,J17*Parametros!$B$13*Parametros!$C$5)))</f>
        <v/>
      </c>
      <c r="R17" s="18">
        <f>IF($E17="","",IF(H17=Parametros!$B$6,J17*Parametros!$B$13,IF(H17=Parametros!$B$5,0,J17*Parametros!$B$13*Parametros!$C$6)))</f>
        <v/>
      </c>
      <c r="S17" s="18">
        <f>IF($E17="","",J17*Parametros!$B$14*M17)</f>
        <v/>
      </c>
      <c r="T17" s="18">
        <f>IF($E17="","",J17*Parametros!$B$14*(1-M17))</f>
        <v/>
      </c>
      <c r="U17" s="18">
        <f>IF($E17="","",O17+Q17+S17)</f>
        <v/>
      </c>
      <c r="V17" s="18">
        <f>IF($E17="","",P17+R17+T17)</f>
        <v/>
      </c>
      <c r="W17" s="18">
        <f>IF($E17="","",ROUND(J17-N17-U17-V17,2))</f>
        <v/>
      </c>
    </row>
    <row r="18">
      <c r="A18" s="10" t="n"/>
      <c r="B18" s="10" t="n"/>
      <c r="C18" s="10" t="n"/>
      <c r="D18" s="28" t="n"/>
      <c r="E18" s="30" t="n"/>
      <c r="F18" s="30" t="n"/>
      <c r="G18" s="10" t="n"/>
      <c r="H18" s="10" t="n"/>
      <c r="I18" s="10" t="n"/>
      <c r="J18" s="18">
        <f>IF($E18="","",E18-F18)</f>
        <v/>
      </c>
      <c r="K18" s="31">
        <f>IF($A18="","",SUMIFS(Horas!$D:$D,Horas!$B:$B,$A18,Horas!$C:$C,Parametros!$B$5))</f>
        <v/>
      </c>
      <c r="L18" s="31">
        <f>IF($A18="","",SUMIFS(Horas!$D:$D,Horas!$B:$B,$A18,Horas!$C:$C,Parametros!$B$6))</f>
        <v/>
      </c>
      <c r="M18" s="22">
        <f>IF($E18="","",IF(N(K18)+N(L18)=0,Parametros!$C$5,N(K18)/(N(K18)+N(L18))))</f>
        <v/>
      </c>
      <c r="N18" s="18">
        <f>IF($E18="","",J18*Parametros!$B$11+IF(G18=Parametros!$B$16,J18*Parametros!$B$12,0))</f>
        <v/>
      </c>
      <c r="O18" s="18">
        <f>IF($E18="","",IF(G18=Parametros!$B$5,J18*Parametros!$B$12,0))</f>
        <v/>
      </c>
      <c r="P18" s="18">
        <f>IF($E18="","",IF(G18=Parametros!$B$6,J18*Parametros!$B$12,0))</f>
        <v/>
      </c>
      <c r="Q18" s="18">
        <f>IF($E18="","",IF(H18=Parametros!$B$5,J18*Parametros!$B$13,IF(H18=Parametros!$B$6,0,J18*Parametros!$B$13*Parametros!$C$5)))</f>
        <v/>
      </c>
      <c r="R18" s="18">
        <f>IF($E18="","",IF(H18=Parametros!$B$6,J18*Parametros!$B$13,IF(H18=Parametros!$B$5,0,J18*Parametros!$B$13*Parametros!$C$6)))</f>
        <v/>
      </c>
      <c r="S18" s="18">
        <f>IF($E18="","",J18*Parametros!$B$14*M18)</f>
        <v/>
      </c>
      <c r="T18" s="18">
        <f>IF($E18="","",J18*Parametros!$B$14*(1-M18))</f>
        <v/>
      </c>
      <c r="U18" s="18">
        <f>IF($E18="","",O18+Q18+S18)</f>
        <v/>
      </c>
      <c r="V18" s="18">
        <f>IF($E18="","",P18+R18+T18)</f>
        <v/>
      </c>
      <c r="W18" s="18">
        <f>IF($E18="","",ROUND(J18-N18-U18-V18,2))</f>
        <v/>
      </c>
    </row>
    <row r="19">
      <c r="A19" s="10" t="n"/>
      <c r="B19" s="10" t="n"/>
      <c r="C19" s="10" t="n"/>
      <c r="D19" s="28" t="n"/>
      <c r="E19" s="30" t="n"/>
      <c r="F19" s="30" t="n"/>
      <c r="G19" s="10" t="n"/>
      <c r="H19" s="10" t="n"/>
      <c r="I19" s="10" t="n"/>
      <c r="J19" s="18">
        <f>IF($E19="","",E19-F19)</f>
        <v/>
      </c>
      <c r="K19" s="31">
        <f>IF($A19="","",SUMIFS(Horas!$D:$D,Horas!$B:$B,$A19,Horas!$C:$C,Parametros!$B$5))</f>
        <v/>
      </c>
      <c r="L19" s="31">
        <f>IF($A19="","",SUMIFS(Horas!$D:$D,Horas!$B:$B,$A19,Horas!$C:$C,Parametros!$B$6))</f>
        <v/>
      </c>
      <c r="M19" s="22">
        <f>IF($E19="","",IF(N(K19)+N(L19)=0,Parametros!$C$5,N(K19)/(N(K19)+N(L19))))</f>
        <v/>
      </c>
      <c r="N19" s="18">
        <f>IF($E19="","",J19*Parametros!$B$11+IF(G19=Parametros!$B$16,J19*Parametros!$B$12,0))</f>
        <v/>
      </c>
      <c r="O19" s="18">
        <f>IF($E19="","",IF(G19=Parametros!$B$5,J19*Parametros!$B$12,0))</f>
        <v/>
      </c>
      <c r="P19" s="18">
        <f>IF($E19="","",IF(G19=Parametros!$B$6,J19*Parametros!$B$12,0))</f>
        <v/>
      </c>
      <c r="Q19" s="18">
        <f>IF($E19="","",IF(H19=Parametros!$B$5,J19*Parametros!$B$13,IF(H19=Parametros!$B$6,0,J19*Parametros!$B$13*Parametros!$C$5)))</f>
        <v/>
      </c>
      <c r="R19" s="18">
        <f>IF($E19="","",IF(H19=Parametros!$B$6,J19*Parametros!$B$13,IF(H19=Parametros!$B$5,0,J19*Parametros!$B$13*Parametros!$C$6)))</f>
        <v/>
      </c>
      <c r="S19" s="18">
        <f>IF($E19="","",J19*Parametros!$B$14*M19)</f>
        <v/>
      </c>
      <c r="T19" s="18">
        <f>IF($E19="","",J19*Parametros!$B$14*(1-M19))</f>
        <v/>
      </c>
      <c r="U19" s="18">
        <f>IF($E19="","",O19+Q19+S19)</f>
        <v/>
      </c>
      <c r="V19" s="18">
        <f>IF($E19="","",P19+R19+T19)</f>
        <v/>
      </c>
      <c r="W19" s="18">
        <f>IF($E19="","",ROUND(J19-N19-U19-V19,2))</f>
        <v/>
      </c>
    </row>
    <row r="20">
      <c r="A20" s="10" t="n"/>
      <c r="B20" s="10" t="n"/>
      <c r="C20" s="10" t="n"/>
      <c r="D20" s="28" t="n"/>
      <c r="E20" s="30" t="n"/>
      <c r="F20" s="30" t="n"/>
      <c r="G20" s="10" t="n"/>
      <c r="H20" s="10" t="n"/>
      <c r="I20" s="10" t="n"/>
      <c r="J20" s="18">
        <f>IF($E20="","",E20-F20)</f>
        <v/>
      </c>
      <c r="K20" s="31">
        <f>IF($A20="","",SUMIFS(Horas!$D:$D,Horas!$B:$B,$A20,Horas!$C:$C,Parametros!$B$5))</f>
        <v/>
      </c>
      <c r="L20" s="31">
        <f>IF($A20="","",SUMIFS(Horas!$D:$D,Horas!$B:$B,$A20,Horas!$C:$C,Parametros!$B$6))</f>
        <v/>
      </c>
      <c r="M20" s="22">
        <f>IF($E20="","",IF(N(K20)+N(L20)=0,Parametros!$C$5,N(K20)/(N(K20)+N(L20))))</f>
        <v/>
      </c>
      <c r="N20" s="18">
        <f>IF($E20="","",J20*Parametros!$B$11+IF(G20=Parametros!$B$16,J20*Parametros!$B$12,0))</f>
        <v/>
      </c>
      <c r="O20" s="18">
        <f>IF($E20="","",IF(G20=Parametros!$B$5,J20*Parametros!$B$12,0))</f>
        <v/>
      </c>
      <c r="P20" s="18">
        <f>IF($E20="","",IF(G20=Parametros!$B$6,J20*Parametros!$B$12,0))</f>
        <v/>
      </c>
      <c r="Q20" s="18">
        <f>IF($E20="","",IF(H20=Parametros!$B$5,J20*Parametros!$B$13,IF(H20=Parametros!$B$6,0,J20*Parametros!$B$13*Parametros!$C$5)))</f>
        <v/>
      </c>
      <c r="R20" s="18">
        <f>IF($E20="","",IF(H20=Parametros!$B$6,J20*Parametros!$B$13,IF(H20=Parametros!$B$5,0,J20*Parametros!$B$13*Parametros!$C$6)))</f>
        <v/>
      </c>
      <c r="S20" s="18">
        <f>IF($E20="","",J20*Parametros!$B$14*M20)</f>
        <v/>
      </c>
      <c r="T20" s="18">
        <f>IF($E20="","",J20*Parametros!$B$14*(1-M20))</f>
        <v/>
      </c>
      <c r="U20" s="18">
        <f>IF($E20="","",O20+Q20+S20)</f>
        <v/>
      </c>
      <c r="V20" s="18">
        <f>IF($E20="","",P20+R20+T20)</f>
        <v/>
      </c>
      <c r="W20" s="18">
        <f>IF($E20="","",ROUND(J20-N20-U20-V20,2))</f>
        <v/>
      </c>
    </row>
    <row r="21">
      <c r="A21" s="10" t="n"/>
      <c r="B21" s="10" t="n"/>
      <c r="C21" s="10" t="n"/>
      <c r="D21" s="28" t="n"/>
      <c r="E21" s="30" t="n"/>
      <c r="F21" s="30" t="n"/>
      <c r="G21" s="10" t="n"/>
      <c r="H21" s="10" t="n"/>
      <c r="I21" s="10" t="n"/>
      <c r="J21" s="18">
        <f>IF($E21="","",E21-F21)</f>
        <v/>
      </c>
      <c r="K21" s="31">
        <f>IF($A21="","",SUMIFS(Horas!$D:$D,Horas!$B:$B,$A21,Horas!$C:$C,Parametros!$B$5))</f>
        <v/>
      </c>
      <c r="L21" s="31">
        <f>IF($A21="","",SUMIFS(Horas!$D:$D,Horas!$B:$B,$A21,Horas!$C:$C,Parametros!$B$6))</f>
        <v/>
      </c>
      <c r="M21" s="22">
        <f>IF($E21="","",IF(N(K21)+N(L21)=0,Parametros!$C$5,N(K21)/(N(K21)+N(L21))))</f>
        <v/>
      </c>
      <c r="N21" s="18">
        <f>IF($E21="","",J21*Parametros!$B$11+IF(G21=Parametros!$B$16,J21*Parametros!$B$12,0))</f>
        <v/>
      </c>
      <c r="O21" s="18">
        <f>IF($E21="","",IF(G21=Parametros!$B$5,J21*Parametros!$B$12,0))</f>
        <v/>
      </c>
      <c r="P21" s="18">
        <f>IF($E21="","",IF(G21=Parametros!$B$6,J21*Parametros!$B$12,0))</f>
        <v/>
      </c>
      <c r="Q21" s="18">
        <f>IF($E21="","",IF(H21=Parametros!$B$5,J21*Parametros!$B$13,IF(H21=Parametros!$B$6,0,J21*Parametros!$B$13*Parametros!$C$5)))</f>
        <v/>
      </c>
      <c r="R21" s="18">
        <f>IF($E21="","",IF(H21=Parametros!$B$6,J21*Parametros!$B$13,IF(H21=Parametros!$B$5,0,J21*Parametros!$B$13*Parametros!$C$6)))</f>
        <v/>
      </c>
      <c r="S21" s="18">
        <f>IF($E21="","",J21*Parametros!$B$14*M21)</f>
        <v/>
      </c>
      <c r="T21" s="18">
        <f>IF($E21="","",J21*Parametros!$B$14*(1-M21))</f>
        <v/>
      </c>
      <c r="U21" s="18">
        <f>IF($E21="","",O21+Q21+S21)</f>
        <v/>
      </c>
      <c r="V21" s="18">
        <f>IF($E21="","",P21+R21+T21)</f>
        <v/>
      </c>
      <c r="W21" s="18">
        <f>IF($E21="","",ROUND(J21-N21-U21-V21,2))</f>
        <v/>
      </c>
    </row>
    <row r="22">
      <c r="A22" s="10" t="n"/>
      <c r="B22" s="10" t="n"/>
      <c r="C22" s="10" t="n"/>
      <c r="D22" s="28" t="n"/>
      <c r="E22" s="30" t="n"/>
      <c r="F22" s="30" t="n"/>
      <c r="G22" s="10" t="n"/>
      <c r="H22" s="10" t="n"/>
      <c r="I22" s="10" t="n"/>
      <c r="J22" s="18">
        <f>IF($E22="","",E22-F22)</f>
        <v/>
      </c>
      <c r="K22" s="31">
        <f>IF($A22="","",SUMIFS(Horas!$D:$D,Horas!$B:$B,$A22,Horas!$C:$C,Parametros!$B$5))</f>
        <v/>
      </c>
      <c r="L22" s="31">
        <f>IF($A22="","",SUMIFS(Horas!$D:$D,Horas!$B:$B,$A22,Horas!$C:$C,Parametros!$B$6))</f>
        <v/>
      </c>
      <c r="M22" s="22">
        <f>IF($E22="","",IF(N(K22)+N(L22)=0,Parametros!$C$5,N(K22)/(N(K22)+N(L22))))</f>
        <v/>
      </c>
      <c r="N22" s="18">
        <f>IF($E22="","",J22*Parametros!$B$11+IF(G22=Parametros!$B$16,J22*Parametros!$B$12,0))</f>
        <v/>
      </c>
      <c r="O22" s="18">
        <f>IF($E22="","",IF(G22=Parametros!$B$5,J22*Parametros!$B$12,0))</f>
        <v/>
      </c>
      <c r="P22" s="18">
        <f>IF($E22="","",IF(G22=Parametros!$B$6,J22*Parametros!$B$12,0))</f>
        <v/>
      </c>
      <c r="Q22" s="18">
        <f>IF($E22="","",IF(H22=Parametros!$B$5,J22*Parametros!$B$13,IF(H22=Parametros!$B$6,0,J22*Parametros!$B$13*Parametros!$C$5)))</f>
        <v/>
      </c>
      <c r="R22" s="18">
        <f>IF($E22="","",IF(H22=Parametros!$B$6,J22*Parametros!$B$13,IF(H22=Parametros!$B$5,0,J22*Parametros!$B$13*Parametros!$C$6)))</f>
        <v/>
      </c>
      <c r="S22" s="18">
        <f>IF($E22="","",J22*Parametros!$B$14*M22)</f>
        <v/>
      </c>
      <c r="T22" s="18">
        <f>IF($E22="","",J22*Parametros!$B$14*(1-M22))</f>
        <v/>
      </c>
      <c r="U22" s="18">
        <f>IF($E22="","",O22+Q22+S22)</f>
        <v/>
      </c>
      <c r="V22" s="18">
        <f>IF($E22="","",P22+R22+T22)</f>
        <v/>
      </c>
      <c r="W22" s="18">
        <f>IF($E22="","",ROUND(J22-N22-U22-V22,2))</f>
        <v/>
      </c>
    </row>
    <row r="23">
      <c r="A23" s="10" t="n"/>
      <c r="B23" s="10" t="n"/>
      <c r="C23" s="10" t="n"/>
      <c r="D23" s="28" t="n"/>
      <c r="E23" s="30" t="n"/>
      <c r="F23" s="30" t="n"/>
      <c r="G23" s="10" t="n"/>
      <c r="H23" s="10" t="n"/>
      <c r="I23" s="10" t="n"/>
      <c r="J23" s="18">
        <f>IF($E23="","",E23-F23)</f>
        <v/>
      </c>
      <c r="K23" s="31">
        <f>IF($A23="","",SUMIFS(Horas!$D:$D,Horas!$B:$B,$A23,Horas!$C:$C,Parametros!$B$5))</f>
        <v/>
      </c>
      <c r="L23" s="31">
        <f>IF($A23="","",SUMIFS(Horas!$D:$D,Horas!$B:$B,$A23,Horas!$C:$C,Parametros!$B$6))</f>
        <v/>
      </c>
      <c r="M23" s="22">
        <f>IF($E23="","",IF(N(K23)+N(L23)=0,Parametros!$C$5,N(K23)/(N(K23)+N(L23))))</f>
        <v/>
      </c>
      <c r="N23" s="18">
        <f>IF($E23="","",J23*Parametros!$B$11+IF(G23=Parametros!$B$16,J23*Parametros!$B$12,0))</f>
        <v/>
      </c>
      <c r="O23" s="18">
        <f>IF($E23="","",IF(G23=Parametros!$B$5,J23*Parametros!$B$12,0))</f>
        <v/>
      </c>
      <c r="P23" s="18">
        <f>IF($E23="","",IF(G23=Parametros!$B$6,J23*Parametros!$B$12,0))</f>
        <v/>
      </c>
      <c r="Q23" s="18">
        <f>IF($E23="","",IF(H23=Parametros!$B$5,J23*Parametros!$B$13,IF(H23=Parametros!$B$6,0,J23*Parametros!$B$13*Parametros!$C$5)))</f>
        <v/>
      </c>
      <c r="R23" s="18">
        <f>IF($E23="","",IF(H23=Parametros!$B$6,J23*Parametros!$B$13,IF(H23=Parametros!$B$5,0,J23*Parametros!$B$13*Parametros!$C$6)))</f>
        <v/>
      </c>
      <c r="S23" s="18">
        <f>IF($E23="","",J23*Parametros!$B$14*M23)</f>
        <v/>
      </c>
      <c r="T23" s="18">
        <f>IF($E23="","",J23*Parametros!$B$14*(1-M23))</f>
        <v/>
      </c>
      <c r="U23" s="18">
        <f>IF($E23="","",O23+Q23+S23)</f>
        <v/>
      </c>
      <c r="V23" s="18">
        <f>IF($E23="","",P23+R23+T23)</f>
        <v/>
      </c>
      <c r="W23" s="18">
        <f>IF($E23="","",ROUND(J23-N23-U23-V23,2))</f>
        <v/>
      </c>
    </row>
    <row r="24">
      <c r="A24" s="10" t="n"/>
      <c r="B24" s="10" t="n"/>
      <c r="C24" s="10" t="n"/>
      <c r="D24" s="28" t="n"/>
      <c r="E24" s="30" t="n"/>
      <c r="F24" s="30" t="n"/>
      <c r="G24" s="10" t="n"/>
      <c r="H24" s="10" t="n"/>
      <c r="I24" s="10" t="n"/>
      <c r="J24" s="18">
        <f>IF($E24="","",E24-F24)</f>
        <v/>
      </c>
      <c r="K24" s="31">
        <f>IF($A24="","",SUMIFS(Horas!$D:$D,Horas!$B:$B,$A24,Horas!$C:$C,Parametros!$B$5))</f>
        <v/>
      </c>
      <c r="L24" s="31">
        <f>IF($A24="","",SUMIFS(Horas!$D:$D,Horas!$B:$B,$A24,Horas!$C:$C,Parametros!$B$6))</f>
        <v/>
      </c>
      <c r="M24" s="22">
        <f>IF($E24="","",IF(N(K24)+N(L24)=0,Parametros!$C$5,N(K24)/(N(K24)+N(L24))))</f>
        <v/>
      </c>
      <c r="N24" s="18">
        <f>IF($E24="","",J24*Parametros!$B$11+IF(G24=Parametros!$B$16,J24*Parametros!$B$12,0))</f>
        <v/>
      </c>
      <c r="O24" s="18">
        <f>IF($E24="","",IF(G24=Parametros!$B$5,J24*Parametros!$B$12,0))</f>
        <v/>
      </c>
      <c r="P24" s="18">
        <f>IF($E24="","",IF(G24=Parametros!$B$6,J24*Parametros!$B$12,0))</f>
        <v/>
      </c>
      <c r="Q24" s="18">
        <f>IF($E24="","",IF(H24=Parametros!$B$5,J24*Parametros!$B$13,IF(H24=Parametros!$B$6,0,J24*Parametros!$B$13*Parametros!$C$5)))</f>
        <v/>
      </c>
      <c r="R24" s="18">
        <f>IF($E24="","",IF(H24=Parametros!$B$6,J24*Parametros!$B$13,IF(H24=Parametros!$B$5,0,J24*Parametros!$B$13*Parametros!$C$6)))</f>
        <v/>
      </c>
      <c r="S24" s="18">
        <f>IF($E24="","",J24*Parametros!$B$14*M24)</f>
        <v/>
      </c>
      <c r="T24" s="18">
        <f>IF($E24="","",J24*Parametros!$B$14*(1-M24))</f>
        <v/>
      </c>
      <c r="U24" s="18">
        <f>IF($E24="","",O24+Q24+S24)</f>
        <v/>
      </c>
      <c r="V24" s="18">
        <f>IF($E24="","",P24+R24+T24)</f>
        <v/>
      </c>
      <c r="W24" s="18">
        <f>IF($E24="","",ROUND(J24-N24-U24-V24,2))</f>
        <v/>
      </c>
    </row>
    <row r="25">
      <c r="A25" s="10" t="n"/>
      <c r="B25" s="10" t="n"/>
      <c r="C25" s="10" t="n"/>
      <c r="D25" s="28" t="n"/>
      <c r="E25" s="30" t="n"/>
      <c r="F25" s="30" t="n"/>
      <c r="G25" s="10" t="n"/>
      <c r="H25" s="10" t="n"/>
      <c r="I25" s="10" t="n"/>
      <c r="J25" s="18">
        <f>IF($E25="","",E25-F25)</f>
        <v/>
      </c>
      <c r="K25" s="31">
        <f>IF($A25="","",SUMIFS(Horas!$D:$D,Horas!$B:$B,$A25,Horas!$C:$C,Parametros!$B$5))</f>
        <v/>
      </c>
      <c r="L25" s="31">
        <f>IF($A25="","",SUMIFS(Horas!$D:$D,Horas!$B:$B,$A25,Horas!$C:$C,Parametros!$B$6))</f>
        <v/>
      </c>
      <c r="M25" s="22">
        <f>IF($E25="","",IF(N(K25)+N(L25)=0,Parametros!$C$5,N(K25)/(N(K25)+N(L25))))</f>
        <v/>
      </c>
      <c r="N25" s="18">
        <f>IF($E25="","",J25*Parametros!$B$11+IF(G25=Parametros!$B$16,J25*Parametros!$B$12,0))</f>
        <v/>
      </c>
      <c r="O25" s="18">
        <f>IF($E25="","",IF(G25=Parametros!$B$5,J25*Parametros!$B$12,0))</f>
        <v/>
      </c>
      <c r="P25" s="18">
        <f>IF($E25="","",IF(G25=Parametros!$B$6,J25*Parametros!$B$12,0))</f>
        <v/>
      </c>
      <c r="Q25" s="18">
        <f>IF($E25="","",IF(H25=Parametros!$B$5,J25*Parametros!$B$13,IF(H25=Parametros!$B$6,0,J25*Parametros!$B$13*Parametros!$C$5)))</f>
        <v/>
      </c>
      <c r="R25" s="18">
        <f>IF($E25="","",IF(H25=Parametros!$B$6,J25*Parametros!$B$13,IF(H25=Parametros!$B$5,0,J25*Parametros!$B$13*Parametros!$C$6)))</f>
        <v/>
      </c>
      <c r="S25" s="18">
        <f>IF($E25="","",J25*Parametros!$B$14*M25)</f>
        <v/>
      </c>
      <c r="T25" s="18">
        <f>IF($E25="","",J25*Parametros!$B$14*(1-M25))</f>
        <v/>
      </c>
      <c r="U25" s="18">
        <f>IF($E25="","",O25+Q25+S25)</f>
        <v/>
      </c>
      <c r="V25" s="18">
        <f>IF($E25="","",P25+R25+T25)</f>
        <v/>
      </c>
      <c r="W25" s="18">
        <f>IF($E25="","",ROUND(J25-N25-U25-V25,2))</f>
        <v/>
      </c>
    </row>
    <row r="26">
      <c r="A26" s="10" t="n"/>
      <c r="B26" s="10" t="n"/>
      <c r="C26" s="10" t="n"/>
      <c r="D26" s="28" t="n"/>
      <c r="E26" s="30" t="n"/>
      <c r="F26" s="30" t="n"/>
      <c r="G26" s="10" t="n"/>
      <c r="H26" s="10" t="n"/>
      <c r="I26" s="10" t="n"/>
      <c r="J26" s="18">
        <f>IF($E26="","",E26-F26)</f>
        <v/>
      </c>
      <c r="K26" s="31">
        <f>IF($A26="","",SUMIFS(Horas!$D:$D,Horas!$B:$B,$A26,Horas!$C:$C,Parametros!$B$5))</f>
        <v/>
      </c>
      <c r="L26" s="31">
        <f>IF($A26="","",SUMIFS(Horas!$D:$D,Horas!$B:$B,$A26,Horas!$C:$C,Parametros!$B$6))</f>
        <v/>
      </c>
      <c r="M26" s="22">
        <f>IF($E26="","",IF(N(K26)+N(L26)=0,Parametros!$C$5,N(K26)/(N(K26)+N(L26))))</f>
        <v/>
      </c>
      <c r="N26" s="18">
        <f>IF($E26="","",J26*Parametros!$B$11+IF(G26=Parametros!$B$16,J26*Parametros!$B$12,0))</f>
        <v/>
      </c>
      <c r="O26" s="18">
        <f>IF($E26="","",IF(G26=Parametros!$B$5,J26*Parametros!$B$12,0))</f>
        <v/>
      </c>
      <c r="P26" s="18">
        <f>IF($E26="","",IF(G26=Parametros!$B$6,J26*Parametros!$B$12,0))</f>
        <v/>
      </c>
      <c r="Q26" s="18">
        <f>IF($E26="","",IF(H26=Parametros!$B$5,J26*Parametros!$B$13,IF(H26=Parametros!$B$6,0,J26*Parametros!$B$13*Parametros!$C$5)))</f>
        <v/>
      </c>
      <c r="R26" s="18">
        <f>IF($E26="","",IF(H26=Parametros!$B$6,J26*Parametros!$B$13,IF(H26=Parametros!$B$5,0,J26*Parametros!$B$13*Parametros!$C$6)))</f>
        <v/>
      </c>
      <c r="S26" s="18">
        <f>IF($E26="","",J26*Parametros!$B$14*M26)</f>
        <v/>
      </c>
      <c r="T26" s="18">
        <f>IF($E26="","",J26*Parametros!$B$14*(1-M26))</f>
        <v/>
      </c>
      <c r="U26" s="18">
        <f>IF($E26="","",O26+Q26+S26)</f>
        <v/>
      </c>
      <c r="V26" s="18">
        <f>IF($E26="","",P26+R26+T26)</f>
        <v/>
      </c>
      <c r="W26" s="18">
        <f>IF($E26="","",ROUND(J26-N26-U26-V26,2))</f>
        <v/>
      </c>
    </row>
    <row r="27">
      <c r="A27" s="10" t="n"/>
      <c r="B27" s="10" t="n"/>
      <c r="C27" s="10" t="n"/>
      <c r="D27" s="28" t="n"/>
      <c r="E27" s="30" t="n"/>
      <c r="F27" s="30" t="n"/>
      <c r="G27" s="10" t="n"/>
      <c r="H27" s="10" t="n"/>
      <c r="I27" s="10" t="n"/>
      <c r="J27" s="18">
        <f>IF($E27="","",E27-F27)</f>
        <v/>
      </c>
      <c r="K27" s="31">
        <f>IF($A27="","",SUMIFS(Horas!$D:$D,Horas!$B:$B,$A27,Horas!$C:$C,Parametros!$B$5))</f>
        <v/>
      </c>
      <c r="L27" s="31">
        <f>IF($A27="","",SUMIFS(Horas!$D:$D,Horas!$B:$B,$A27,Horas!$C:$C,Parametros!$B$6))</f>
        <v/>
      </c>
      <c r="M27" s="22">
        <f>IF($E27="","",IF(N(K27)+N(L27)=0,Parametros!$C$5,N(K27)/(N(K27)+N(L27))))</f>
        <v/>
      </c>
      <c r="N27" s="18">
        <f>IF($E27="","",J27*Parametros!$B$11+IF(G27=Parametros!$B$16,J27*Parametros!$B$12,0))</f>
        <v/>
      </c>
      <c r="O27" s="18">
        <f>IF($E27="","",IF(G27=Parametros!$B$5,J27*Parametros!$B$12,0))</f>
        <v/>
      </c>
      <c r="P27" s="18">
        <f>IF($E27="","",IF(G27=Parametros!$B$6,J27*Parametros!$B$12,0))</f>
        <v/>
      </c>
      <c r="Q27" s="18">
        <f>IF($E27="","",IF(H27=Parametros!$B$5,J27*Parametros!$B$13,IF(H27=Parametros!$B$6,0,J27*Parametros!$B$13*Parametros!$C$5)))</f>
        <v/>
      </c>
      <c r="R27" s="18">
        <f>IF($E27="","",IF(H27=Parametros!$B$6,J27*Parametros!$B$13,IF(H27=Parametros!$B$5,0,J27*Parametros!$B$13*Parametros!$C$6)))</f>
        <v/>
      </c>
      <c r="S27" s="18">
        <f>IF($E27="","",J27*Parametros!$B$14*M27)</f>
        <v/>
      </c>
      <c r="T27" s="18">
        <f>IF($E27="","",J27*Parametros!$B$14*(1-M27))</f>
        <v/>
      </c>
      <c r="U27" s="18">
        <f>IF($E27="","",O27+Q27+S27)</f>
        <v/>
      </c>
      <c r="V27" s="18">
        <f>IF($E27="","",P27+R27+T27)</f>
        <v/>
      </c>
      <c r="W27" s="18">
        <f>IF($E27="","",ROUND(J27-N27-U27-V27,2))</f>
        <v/>
      </c>
    </row>
    <row r="28">
      <c r="A28" s="10" t="n"/>
      <c r="B28" s="10" t="n"/>
      <c r="C28" s="10" t="n"/>
      <c r="D28" s="28" t="n"/>
      <c r="E28" s="30" t="n"/>
      <c r="F28" s="30" t="n"/>
      <c r="G28" s="10" t="n"/>
      <c r="H28" s="10" t="n"/>
      <c r="I28" s="10" t="n"/>
      <c r="J28" s="18">
        <f>IF($E28="","",E28-F28)</f>
        <v/>
      </c>
      <c r="K28" s="31">
        <f>IF($A28="","",SUMIFS(Horas!$D:$D,Horas!$B:$B,$A28,Horas!$C:$C,Parametros!$B$5))</f>
        <v/>
      </c>
      <c r="L28" s="31">
        <f>IF($A28="","",SUMIFS(Horas!$D:$D,Horas!$B:$B,$A28,Horas!$C:$C,Parametros!$B$6))</f>
        <v/>
      </c>
      <c r="M28" s="22">
        <f>IF($E28="","",IF(N(K28)+N(L28)=0,Parametros!$C$5,N(K28)/(N(K28)+N(L28))))</f>
        <v/>
      </c>
      <c r="N28" s="18">
        <f>IF($E28="","",J28*Parametros!$B$11+IF(G28=Parametros!$B$16,J28*Parametros!$B$12,0))</f>
        <v/>
      </c>
      <c r="O28" s="18">
        <f>IF($E28="","",IF(G28=Parametros!$B$5,J28*Parametros!$B$12,0))</f>
        <v/>
      </c>
      <c r="P28" s="18">
        <f>IF($E28="","",IF(G28=Parametros!$B$6,J28*Parametros!$B$12,0))</f>
        <v/>
      </c>
      <c r="Q28" s="18">
        <f>IF($E28="","",IF(H28=Parametros!$B$5,J28*Parametros!$B$13,IF(H28=Parametros!$B$6,0,J28*Parametros!$B$13*Parametros!$C$5)))</f>
        <v/>
      </c>
      <c r="R28" s="18">
        <f>IF($E28="","",IF(H28=Parametros!$B$6,J28*Parametros!$B$13,IF(H28=Parametros!$B$5,0,J28*Parametros!$B$13*Parametros!$C$6)))</f>
        <v/>
      </c>
      <c r="S28" s="18">
        <f>IF($E28="","",J28*Parametros!$B$14*M28)</f>
        <v/>
      </c>
      <c r="T28" s="18">
        <f>IF($E28="","",J28*Parametros!$B$14*(1-M28))</f>
        <v/>
      </c>
      <c r="U28" s="18">
        <f>IF($E28="","",O28+Q28+S28)</f>
        <v/>
      </c>
      <c r="V28" s="18">
        <f>IF($E28="","",P28+R28+T28)</f>
        <v/>
      </c>
      <c r="W28" s="18">
        <f>IF($E28="","",ROUND(J28-N28-U28-V28,2))</f>
        <v/>
      </c>
    </row>
    <row r="29">
      <c r="A29" s="10" t="n"/>
      <c r="B29" s="10" t="n"/>
      <c r="C29" s="10" t="n"/>
      <c r="D29" s="28" t="n"/>
      <c r="E29" s="30" t="n"/>
      <c r="F29" s="30" t="n"/>
      <c r="G29" s="10" t="n"/>
      <c r="H29" s="10" t="n"/>
      <c r="I29" s="10" t="n"/>
      <c r="J29" s="18">
        <f>IF($E29="","",E29-F29)</f>
        <v/>
      </c>
      <c r="K29" s="31">
        <f>IF($A29="","",SUMIFS(Horas!$D:$D,Horas!$B:$B,$A29,Horas!$C:$C,Parametros!$B$5))</f>
        <v/>
      </c>
      <c r="L29" s="31">
        <f>IF($A29="","",SUMIFS(Horas!$D:$D,Horas!$B:$B,$A29,Horas!$C:$C,Parametros!$B$6))</f>
        <v/>
      </c>
      <c r="M29" s="22">
        <f>IF($E29="","",IF(N(K29)+N(L29)=0,Parametros!$C$5,N(K29)/(N(K29)+N(L29))))</f>
        <v/>
      </c>
      <c r="N29" s="18">
        <f>IF($E29="","",J29*Parametros!$B$11+IF(G29=Parametros!$B$16,J29*Parametros!$B$12,0))</f>
        <v/>
      </c>
      <c r="O29" s="18">
        <f>IF($E29="","",IF(G29=Parametros!$B$5,J29*Parametros!$B$12,0))</f>
        <v/>
      </c>
      <c r="P29" s="18">
        <f>IF($E29="","",IF(G29=Parametros!$B$6,J29*Parametros!$B$12,0))</f>
        <v/>
      </c>
      <c r="Q29" s="18">
        <f>IF($E29="","",IF(H29=Parametros!$B$5,J29*Parametros!$B$13,IF(H29=Parametros!$B$6,0,J29*Parametros!$B$13*Parametros!$C$5)))</f>
        <v/>
      </c>
      <c r="R29" s="18">
        <f>IF($E29="","",IF(H29=Parametros!$B$6,J29*Parametros!$B$13,IF(H29=Parametros!$B$5,0,J29*Parametros!$B$13*Parametros!$C$6)))</f>
        <v/>
      </c>
      <c r="S29" s="18">
        <f>IF($E29="","",J29*Parametros!$B$14*M29)</f>
        <v/>
      </c>
      <c r="T29" s="18">
        <f>IF($E29="","",J29*Parametros!$B$14*(1-M29))</f>
        <v/>
      </c>
      <c r="U29" s="18">
        <f>IF($E29="","",O29+Q29+S29)</f>
        <v/>
      </c>
      <c r="V29" s="18">
        <f>IF($E29="","",P29+R29+T29)</f>
        <v/>
      </c>
      <c r="W29" s="18">
        <f>IF($E29="","",ROUND(J29-N29-U29-V29,2))</f>
        <v/>
      </c>
    </row>
    <row r="30">
      <c r="A30" s="10" t="n"/>
      <c r="B30" s="10" t="n"/>
      <c r="C30" s="10" t="n"/>
      <c r="D30" s="28" t="n"/>
      <c r="E30" s="30" t="n"/>
      <c r="F30" s="30" t="n"/>
      <c r="G30" s="10" t="n"/>
      <c r="H30" s="10" t="n"/>
      <c r="I30" s="10" t="n"/>
      <c r="J30" s="18">
        <f>IF($E30="","",E30-F30)</f>
        <v/>
      </c>
      <c r="K30" s="31">
        <f>IF($A30="","",SUMIFS(Horas!$D:$D,Horas!$B:$B,$A30,Horas!$C:$C,Parametros!$B$5))</f>
        <v/>
      </c>
      <c r="L30" s="31">
        <f>IF($A30="","",SUMIFS(Horas!$D:$D,Horas!$B:$B,$A30,Horas!$C:$C,Parametros!$B$6))</f>
        <v/>
      </c>
      <c r="M30" s="22">
        <f>IF($E30="","",IF(N(K30)+N(L30)=0,Parametros!$C$5,N(K30)/(N(K30)+N(L30))))</f>
        <v/>
      </c>
      <c r="N30" s="18">
        <f>IF($E30="","",J30*Parametros!$B$11+IF(G30=Parametros!$B$16,J30*Parametros!$B$12,0))</f>
        <v/>
      </c>
      <c r="O30" s="18">
        <f>IF($E30="","",IF(G30=Parametros!$B$5,J30*Parametros!$B$12,0))</f>
        <v/>
      </c>
      <c r="P30" s="18">
        <f>IF($E30="","",IF(G30=Parametros!$B$6,J30*Parametros!$B$12,0))</f>
        <v/>
      </c>
      <c r="Q30" s="18">
        <f>IF($E30="","",IF(H30=Parametros!$B$5,J30*Parametros!$B$13,IF(H30=Parametros!$B$6,0,J30*Parametros!$B$13*Parametros!$C$5)))</f>
        <v/>
      </c>
      <c r="R30" s="18">
        <f>IF($E30="","",IF(H30=Parametros!$B$6,J30*Parametros!$B$13,IF(H30=Parametros!$B$5,0,J30*Parametros!$B$13*Parametros!$C$6)))</f>
        <v/>
      </c>
      <c r="S30" s="18">
        <f>IF($E30="","",J30*Parametros!$B$14*M30)</f>
        <v/>
      </c>
      <c r="T30" s="18">
        <f>IF($E30="","",J30*Parametros!$B$14*(1-M30))</f>
        <v/>
      </c>
      <c r="U30" s="18">
        <f>IF($E30="","",O30+Q30+S30)</f>
        <v/>
      </c>
      <c r="V30" s="18">
        <f>IF($E30="","",P30+R30+T30)</f>
        <v/>
      </c>
      <c r="W30" s="18">
        <f>IF($E30="","",ROUND(J30-N30-U30-V30,2))</f>
        <v/>
      </c>
    </row>
    <row r="31">
      <c r="A31" s="10" t="n"/>
      <c r="B31" s="10" t="n"/>
      <c r="C31" s="10" t="n"/>
      <c r="D31" s="28" t="n"/>
      <c r="E31" s="30" t="n"/>
      <c r="F31" s="30" t="n"/>
      <c r="G31" s="10" t="n"/>
      <c r="H31" s="10" t="n"/>
      <c r="I31" s="10" t="n"/>
      <c r="J31" s="18">
        <f>IF($E31="","",E31-F31)</f>
        <v/>
      </c>
      <c r="K31" s="31">
        <f>IF($A31="","",SUMIFS(Horas!$D:$D,Horas!$B:$B,$A31,Horas!$C:$C,Parametros!$B$5))</f>
        <v/>
      </c>
      <c r="L31" s="31">
        <f>IF($A31="","",SUMIFS(Horas!$D:$D,Horas!$B:$B,$A31,Horas!$C:$C,Parametros!$B$6))</f>
        <v/>
      </c>
      <c r="M31" s="22">
        <f>IF($E31="","",IF(N(K31)+N(L31)=0,Parametros!$C$5,N(K31)/(N(K31)+N(L31))))</f>
        <v/>
      </c>
      <c r="N31" s="18">
        <f>IF($E31="","",J31*Parametros!$B$11+IF(G31=Parametros!$B$16,J31*Parametros!$B$12,0))</f>
        <v/>
      </c>
      <c r="O31" s="18">
        <f>IF($E31="","",IF(G31=Parametros!$B$5,J31*Parametros!$B$12,0))</f>
        <v/>
      </c>
      <c r="P31" s="18">
        <f>IF($E31="","",IF(G31=Parametros!$B$6,J31*Parametros!$B$12,0))</f>
        <v/>
      </c>
      <c r="Q31" s="18">
        <f>IF($E31="","",IF(H31=Parametros!$B$5,J31*Parametros!$B$13,IF(H31=Parametros!$B$6,0,J31*Parametros!$B$13*Parametros!$C$5)))</f>
        <v/>
      </c>
      <c r="R31" s="18">
        <f>IF($E31="","",IF(H31=Parametros!$B$6,J31*Parametros!$B$13,IF(H31=Parametros!$B$5,0,J31*Parametros!$B$13*Parametros!$C$6)))</f>
        <v/>
      </c>
      <c r="S31" s="18">
        <f>IF($E31="","",J31*Parametros!$B$14*M31)</f>
        <v/>
      </c>
      <c r="T31" s="18">
        <f>IF($E31="","",J31*Parametros!$B$14*(1-M31))</f>
        <v/>
      </c>
      <c r="U31" s="18">
        <f>IF($E31="","",O31+Q31+S31)</f>
        <v/>
      </c>
      <c r="V31" s="18">
        <f>IF($E31="","",P31+R31+T31)</f>
        <v/>
      </c>
      <c r="W31" s="18">
        <f>IF($E31="","",ROUND(J31-N31-U31-V31,2))</f>
        <v/>
      </c>
    </row>
    <row r="32">
      <c r="A32" s="10" t="n"/>
      <c r="B32" s="10" t="n"/>
      <c r="C32" s="10" t="n"/>
      <c r="D32" s="28" t="n"/>
      <c r="E32" s="30" t="n"/>
      <c r="F32" s="30" t="n"/>
      <c r="G32" s="10" t="n"/>
      <c r="H32" s="10" t="n"/>
      <c r="I32" s="10" t="n"/>
      <c r="J32" s="18">
        <f>IF($E32="","",E32-F32)</f>
        <v/>
      </c>
      <c r="K32" s="31">
        <f>IF($A32="","",SUMIFS(Horas!$D:$D,Horas!$B:$B,$A32,Horas!$C:$C,Parametros!$B$5))</f>
        <v/>
      </c>
      <c r="L32" s="31">
        <f>IF($A32="","",SUMIFS(Horas!$D:$D,Horas!$B:$B,$A32,Horas!$C:$C,Parametros!$B$6))</f>
        <v/>
      </c>
      <c r="M32" s="22">
        <f>IF($E32="","",IF(N(K32)+N(L32)=0,Parametros!$C$5,N(K32)/(N(K32)+N(L32))))</f>
        <v/>
      </c>
      <c r="N32" s="18">
        <f>IF($E32="","",J32*Parametros!$B$11+IF(G32=Parametros!$B$16,J32*Parametros!$B$12,0))</f>
        <v/>
      </c>
      <c r="O32" s="18">
        <f>IF($E32="","",IF(G32=Parametros!$B$5,J32*Parametros!$B$12,0))</f>
        <v/>
      </c>
      <c r="P32" s="18">
        <f>IF($E32="","",IF(G32=Parametros!$B$6,J32*Parametros!$B$12,0))</f>
        <v/>
      </c>
      <c r="Q32" s="18">
        <f>IF($E32="","",IF(H32=Parametros!$B$5,J32*Parametros!$B$13,IF(H32=Parametros!$B$6,0,J32*Parametros!$B$13*Parametros!$C$5)))</f>
        <v/>
      </c>
      <c r="R32" s="18">
        <f>IF($E32="","",IF(H32=Parametros!$B$6,J32*Parametros!$B$13,IF(H32=Parametros!$B$5,0,J32*Parametros!$B$13*Parametros!$C$6)))</f>
        <v/>
      </c>
      <c r="S32" s="18">
        <f>IF($E32="","",J32*Parametros!$B$14*M32)</f>
        <v/>
      </c>
      <c r="T32" s="18">
        <f>IF($E32="","",J32*Parametros!$B$14*(1-M32))</f>
        <v/>
      </c>
      <c r="U32" s="18">
        <f>IF($E32="","",O32+Q32+S32)</f>
        <v/>
      </c>
      <c r="V32" s="18">
        <f>IF($E32="","",P32+R32+T32)</f>
        <v/>
      </c>
      <c r="W32" s="18">
        <f>IF($E32="","",ROUND(J32-N32-U32-V32,2))</f>
        <v/>
      </c>
    </row>
    <row r="33">
      <c r="A33" s="10" t="n"/>
      <c r="B33" s="10" t="n"/>
      <c r="C33" s="10" t="n"/>
      <c r="D33" s="28" t="n"/>
      <c r="E33" s="30" t="n"/>
      <c r="F33" s="30" t="n"/>
      <c r="G33" s="10" t="n"/>
      <c r="H33" s="10" t="n"/>
      <c r="I33" s="10" t="n"/>
      <c r="J33" s="18">
        <f>IF($E33="","",E33-F33)</f>
        <v/>
      </c>
      <c r="K33" s="31">
        <f>IF($A33="","",SUMIFS(Horas!$D:$D,Horas!$B:$B,$A33,Horas!$C:$C,Parametros!$B$5))</f>
        <v/>
      </c>
      <c r="L33" s="31">
        <f>IF($A33="","",SUMIFS(Horas!$D:$D,Horas!$B:$B,$A33,Horas!$C:$C,Parametros!$B$6))</f>
        <v/>
      </c>
      <c r="M33" s="22">
        <f>IF($E33="","",IF(N(K33)+N(L33)=0,Parametros!$C$5,N(K33)/(N(K33)+N(L33))))</f>
        <v/>
      </c>
      <c r="N33" s="18">
        <f>IF($E33="","",J33*Parametros!$B$11+IF(G33=Parametros!$B$16,J33*Parametros!$B$12,0))</f>
        <v/>
      </c>
      <c r="O33" s="18">
        <f>IF($E33="","",IF(G33=Parametros!$B$5,J33*Parametros!$B$12,0))</f>
        <v/>
      </c>
      <c r="P33" s="18">
        <f>IF($E33="","",IF(G33=Parametros!$B$6,J33*Parametros!$B$12,0))</f>
        <v/>
      </c>
      <c r="Q33" s="18">
        <f>IF($E33="","",IF(H33=Parametros!$B$5,J33*Parametros!$B$13,IF(H33=Parametros!$B$6,0,J33*Parametros!$B$13*Parametros!$C$5)))</f>
        <v/>
      </c>
      <c r="R33" s="18">
        <f>IF($E33="","",IF(H33=Parametros!$B$6,J33*Parametros!$B$13,IF(H33=Parametros!$B$5,0,J33*Parametros!$B$13*Parametros!$C$6)))</f>
        <v/>
      </c>
      <c r="S33" s="18">
        <f>IF($E33="","",J33*Parametros!$B$14*M33)</f>
        <v/>
      </c>
      <c r="T33" s="18">
        <f>IF($E33="","",J33*Parametros!$B$14*(1-M33))</f>
        <v/>
      </c>
      <c r="U33" s="18">
        <f>IF($E33="","",O33+Q33+S33)</f>
        <v/>
      </c>
      <c r="V33" s="18">
        <f>IF($E33="","",P33+R33+T33)</f>
        <v/>
      </c>
      <c r="W33" s="18">
        <f>IF($E33="","",ROUND(J33-N33-U33-V33,2))</f>
        <v/>
      </c>
    </row>
    <row r="34">
      <c r="A34" s="10" t="n"/>
      <c r="B34" s="10" t="n"/>
      <c r="C34" s="10" t="n"/>
      <c r="D34" s="28" t="n"/>
      <c r="E34" s="30" t="n"/>
      <c r="F34" s="30" t="n"/>
      <c r="G34" s="10" t="n"/>
      <c r="H34" s="10" t="n"/>
      <c r="I34" s="10" t="n"/>
      <c r="J34" s="18">
        <f>IF($E34="","",E34-F34)</f>
        <v/>
      </c>
      <c r="K34" s="31">
        <f>IF($A34="","",SUMIFS(Horas!$D:$D,Horas!$B:$B,$A34,Horas!$C:$C,Parametros!$B$5))</f>
        <v/>
      </c>
      <c r="L34" s="31">
        <f>IF($A34="","",SUMIFS(Horas!$D:$D,Horas!$B:$B,$A34,Horas!$C:$C,Parametros!$B$6))</f>
        <v/>
      </c>
      <c r="M34" s="22">
        <f>IF($E34="","",IF(N(K34)+N(L34)=0,Parametros!$C$5,N(K34)/(N(K34)+N(L34))))</f>
        <v/>
      </c>
      <c r="N34" s="18">
        <f>IF($E34="","",J34*Parametros!$B$11+IF(G34=Parametros!$B$16,J34*Parametros!$B$12,0))</f>
        <v/>
      </c>
      <c r="O34" s="18">
        <f>IF($E34="","",IF(G34=Parametros!$B$5,J34*Parametros!$B$12,0))</f>
        <v/>
      </c>
      <c r="P34" s="18">
        <f>IF($E34="","",IF(G34=Parametros!$B$6,J34*Parametros!$B$12,0))</f>
        <v/>
      </c>
      <c r="Q34" s="18">
        <f>IF($E34="","",IF(H34=Parametros!$B$5,J34*Parametros!$B$13,IF(H34=Parametros!$B$6,0,J34*Parametros!$B$13*Parametros!$C$5)))</f>
        <v/>
      </c>
      <c r="R34" s="18">
        <f>IF($E34="","",IF(H34=Parametros!$B$6,J34*Parametros!$B$13,IF(H34=Parametros!$B$5,0,J34*Parametros!$B$13*Parametros!$C$6)))</f>
        <v/>
      </c>
      <c r="S34" s="18">
        <f>IF($E34="","",J34*Parametros!$B$14*M34)</f>
        <v/>
      </c>
      <c r="T34" s="18">
        <f>IF($E34="","",J34*Parametros!$B$14*(1-M34))</f>
        <v/>
      </c>
      <c r="U34" s="18">
        <f>IF($E34="","",O34+Q34+S34)</f>
        <v/>
      </c>
      <c r="V34" s="18">
        <f>IF($E34="","",P34+R34+T34)</f>
        <v/>
      </c>
      <c r="W34" s="18">
        <f>IF($E34="","",ROUND(J34-N34-U34-V34,2))</f>
        <v/>
      </c>
    </row>
    <row r="35">
      <c r="A35" s="10" t="n"/>
      <c r="B35" s="10" t="n"/>
      <c r="C35" s="10" t="n"/>
      <c r="D35" s="28" t="n"/>
      <c r="E35" s="30" t="n"/>
      <c r="F35" s="30" t="n"/>
      <c r="G35" s="10" t="n"/>
      <c r="H35" s="10" t="n"/>
      <c r="I35" s="10" t="n"/>
      <c r="J35" s="18">
        <f>IF($E35="","",E35-F35)</f>
        <v/>
      </c>
      <c r="K35" s="31">
        <f>IF($A35="","",SUMIFS(Horas!$D:$D,Horas!$B:$B,$A35,Horas!$C:$C,Parametros!$B$5))</f>
        <v/>
      </c>
      <c r="L35" s="31">
        <f>IF($A35="","",SUMIFS(Horas!$D:$D,Horas!$B:$B,$A35,Horas!$C:$C,Parametros!$B$6))</f>
        <v/>
      </c>
      <c r="M35" s="22">
        <f>IF($E35="","",IF(N(K35)+N(L35)=0,Parametros!$C$5,N(K35)/(N(K35)+N(L35))))</f>
        <v/>
      </c>
      <c r="N35" s="18">
        <f>IF($E35="","",J35*Parametros!$B$11+IF(G35=Parametros!$B$16,J35*Parametros!$B$12,0))</f>
        <v/>
      </c>
      <c r="O35" s="18">
        <f>IF($E35="","",IF(G35=Parametros!$B$5,J35*Parametros!$B$12,0))</f>
        <v/>
      </c>
      <c r="P35" s="18">
        <f>IF($E35="","",IF(G35=Parametros!$B$6,J35*Parametros!$B$12,0))</f>
        <v/>
      </c>
      <c r="Q35" s="18">
        <f>IF($E35="","",IF(H35=Parametros!$B$5,J35*Parametros!$B$13,IF(H35=Parametros!$B$6,0,J35*Parametros!$B$13*Parametros!$C$5)))</f>
        <v/>
      </c>
      <c r="R35" s="18">
        <f>IF($E35="","",IF(H35=Parametros!$B$6,J35*Parametros!$B$13,IF(H35=Parametros!$B$5,0,J35*Parametros!$B$13*Parametros!$C$6)))</f>
        <v/>
      </c>
      <c r="S35" s="18">
        <f>IF($E35="","",J35*Parametros!$B$14*M35)</f>
        <v/>
      </c>
      <c r="T35" s="18">
        <f>IF($E35="","",J35*Parametros!$B$14*(1-M35))</f>
        <v/>
      </c>
      <c r="U35" s="18">
        <f>IF($E35="","",O35+Q35+S35)</f>
        <v/>
      </c>
      <c r="V35" s="18">
        <f>IF($E35="","",P35+R35+T35)</f>
        <v/>
      </c>
      <c r="W35" s="18">
        <f>IF($E35="","",ROUND(J35-N35-U35-V35,2))</f>
        <v/>
      </c>
    </row>
    <row r="36">
      <c r="A36" s="10" t="n"/>
      <c r="B36" s="10" t="n"/>
      <c r="C36" s="10" t="n"/>
      <c r="D36" s="28" t="n"/>
      <c r="E36" s="30" t="n"/>
      <c r="F36" s="30" t="n"/>
      <c r="G36" s="10" t="n"/>
      <c r="H36" s="10" t="n"/>
      <c r="I36" s="10" t="n"/>
      <c r="J36" s="18">
        <f>IF($E36="","",E36-F36)</f>
        <v/>
      </c>
      <c r="K36" s="31">
        <f>IF($A36="","",SUMIFS(Horas!$D:$D,Horas!$B:$B,$A36,Horas!$C:$C,Parametros!$B$5))</f>
        <v/>
      </c>
      <c r="L36" s="31">
        <f>IF($A36="","",SUMIFS(Horas!$D:$D,Horas!$B:$B,$A36,Horas!$C:$C,Parametros!$B$6))</f>
        <v/>
      </c>
      <c r="M36" s="22">
        <f>IF($E36="","",IF(N(K36)+N(L36)=0,Parametros!$C$5,N(K36)/(N(K36)+N(L36))))</f>
        <v/>
      </c>
      <c r="N36" s="18">
        <f>IF($E36="","",J36*Parametros!$B$11+IF(G36=Parametros!$B$16,J36*Parametros!$B$12,0))</f>
        <v/>
      </c>
      <c r="O36" s="18">
        <f>IF($E36="","",IF(G36=Parametros!$B$5,J36*Parametros!$B$12,0))</f>
        <v/>
      </c>
      <c r="P36" s="18">
        <f>IF($E36="","",IF(G36=Parametros!$B$6,J36*Parametros!$B$12,0))</f>
        <v/>
      </c>
      <c r="Q36" s="18">
        <f>IF($E36="","",IF(H36=Parametros!$B$5,J36*Parametros!$B$13,IF(H36=Parametros!$B$6,0,J36*Parametros!$B$13*Parametros!$C$5)))</f>
        <v/>
      </c>
      <c r="R36" s="18">
        <f>IF($E36="","",IF(H36=Parametros!$B$6,J36*Parametros!$B$13,IF(H36=Parametros!$B$5,0,J36*Parametros!$B$13*Parametros!$C$6)))</f>
        <v/>
      </c>
      <c r="S36" s="18">
        <f>IF($E36="","",J36*Parametros!$B$14*M36)</f>
        <v/>
      </c>
      <c r="T36" s="18">
        <f>IF($E36="","",J36*Parametros!$B$14*(1-M36))</f>
        <v/>
      </c>
      <c r="U36" s="18">
        <f>IF($E36="","",O36+Q36+S36)</f>
        <v/>
      </c>
      <c r="V36" s="18">
        <f>IF($E36="","",P36+R36+T36)</f>
        <v/>
      </c>
      <c r="W36" s="18">
        <f>IF($E36="","",ROUND(J36-N36-U36-V36,2))</f>
        <v/>
      </c>
    </row>
    <row r="37">
      <c r="A37" s="10" t="n"/>
      <c r="B37" s="10" t="n"/>
      <c r="C37" s="10" t="n"/>
      <c r="D37" s="28" t="n"/>
      <c r="E37" s="30" t="n"/>
      <c r="F37" s="30" t="n"/>
      <c r="G37" s="10" t="n"/>
      <c r="H37" s="10" t="n"/>
      <c r="I37" s="10" t="n"/>
      <c r="J37" s="18">
        <f>IF($E37="","",E37-F37)</f>
        <v/>
      </c>
      <c r="K37" s="31">
        <f>IF($A37="","",SUMIFS(Horas!$D:$D,Horas!$B:$B,$A37,Horas!$C:$C,Parametros!$B$5))</f>
        <v/>
      </c>
      <c r="L37" s="31">
        <f>IF($A37="","",SUMIFS(Horas!$D:$D,Horas!$B:$B,$A37,Horas!$C:$C,Parametros!$B$6))</f>
        <v/>
      </c>
      <c r="M37" s="22">
        <f>IF($E37="","",IF(N(K37)+N(L37)=0,Parametros!$C$5,N(K37)/(N(K37)+N(L37))))</f>
        <v/>
      </c>
      <c r="N37" s="18">
        <f>IF($E37="","",J37*Parametros!$B$11+IF(G37=Parametros!$B$16,J37*Parametros!$B$12,0))</f>
        <v/>
      </c>
      <c r="O37" s="18">
        <f>IF($E37="","",IF(G37=Parametros!$B$5,J37*Parametros!$B$12,0))</f>
        <v/>
      </c>
      <c r="P37" s="18">
        <f>IF($E37="","",IF(G37=Parametros!$B$6,J37*Parametros!$B$12,0))</f>
        <v/>
      </c>
      <c r="Q37" s="18">
        <f>IF($E37="","",IF(H37=Parametros!$B$5,J37*Parametros!$B$13,IF(H37=Parametros!$B$6,0,J37*Parametros!$B$13*Parametros!$C$5)))</f>
        <v/>
      </c>
      <c r="R37" s="18">
        <f>IF($E37="","",IF(H37=Parametros!$B$6,J37*Parametros!$B$13,IF(H37=Parametros!$B$5,0,J37*Parametros!$B$13*Parametros!$C$6)))</f>
        <v/>
      </c>
      <c r="S37" s="18">
        <f>IF($E37="","",J37*Parametros!$B$14*M37)</f>
        <v/>
      </c>
      <c r="T37" s="18">
        <f>IF($E37="","",J37*Parametros!$B$14*(1-M37))</f>
        <v/>
      </c>
      <c r="U37" s="18">
        <f>IF($E37="","",O37+Q37+S37)</f>
        <v/>
      </c>
      <c r="V37" s="18">
        <f>IF($E37="","",P37+R37+T37)</f>
        <v/>
      </c>
      <c r="W37" s="18">
        <f>IF($E37="","",ROUND(J37-N37-U37-V37,2))</f>
        <v/>
      </c>
    </row>
    <row r="38">
      <c r="A38" s="10" t="n"/>
      <c r="B38" s="10" t="n"/>
      <c r="C38" s="10" t="n"/>
      <c r="D38" s="28" t="n"/>
      <c r="E38" s="30" t="n"/>
      <c r="F38" s="30" t="n"/>
      <c r="G38" s="10" t="n"/>
      <c r="H38" s="10" t="n"/>
      <c r="I38" s="10" t="n"/>
      <c r="J38" s="18">
        <f>IF($E38="","",E38-F38)</f>
        <v/>
      </c>
      <c r="K38" s="31">
        <f>IF($A38="","",SUMIFS(Horas!$D:$D,Horas!$B:$B,$A38,Horas!$C:$C,Parametros!$B$5))</f>
        <v/>
      </c>
      <c r="L38" s="31">
        <f>IF($A38="","",SUMIFS(Horas!$D:$D,Horas!$B:$B,$A38,Horas!$C:$C,Parametros!$B$6))</f>
        <v/>
      </c>
      <c r="M38" s="22">
        <f>IF($E38="","",IF(N(K38)+N(L38)=0,Parametros!$C$5,N(K38)/(N(K38)+N(L38))))</f>
        <v/>
      </c>
      <c r="N38" s="18">
        <f>IF($E38="","",J38*Parametros!$B$11+IF(G38=Parametros!$B$16,J38*Parametros!$B$12,0))</f>
        <v/>
      </c>
      <c r="O38" s="18">
        <f>IF($E38="","",IF(G38=Parametros!$B$5,J38*Parametros!$B$12,0))</f>
        <v/>
      </c>
      <c r="P38" s="18">
        <f>IF($E38="","",IF(G38=Parametros!$B$6,J38*Parametros!$B$12,0))</f>
        <v/>
      </c>
      <c r="Q38" s="18">
        <f>IF($E38="","",IF(H38=Parametros!$B$5,J38*Parametros!$B$13,IF(H38=Parametros!$B$6,0,J38*Parametros!$B$13*Parametros!$C$5)))</f>
        <v/>
      </c>
      <c r="R38" s="18">
        <f>IF($E38="","",IF(H38=Parametros!$B$6,J38*Parametros!$B$13,IF(H38=Parametros!$B$5,0,J38*Parametros!$B$13*Parametros!$C$6)))</f>
        <v/>
      </c>
      <c r="S38" s="18">
        <f>IF($E38="","",J38*Parametros!$B$14*M38)</f>
        <v/>
      </c>
      <c r="T38" s="18">
        <f>IF($E38="","",J38*Parametros!$B$14*(1-M38))</f>
        <v/>
      </c>
      <c r="U38" s="18">
        <f>IF($E38="","",O38+Q38+S38)</f>
        <v/>
      </c>
      <c r="V38" s="18">
        <f>IF($E38="","",P38+R38+T38)</f>
        <v/>
      </c>
      <c r="W38" s="18">
        <f>IF($E38="","",ROUND(J38-N38-U38-V38,2))</f>
        <v/>
      </c>
    </row>
    <row r="39">
      <c r="A39" s="10" t="n"/>
      <c r="B39" s="10" t="n"/>
      <c r="C39" s="10" t="n"/>
      <c r="D39" s="28" t="n"/>
      <c r="E39" s="30" t="n"/>
      <c r="F39" s="30" t="n"/>
      <c r="G39" s="10" t="n"/>
      <c r="H39" s="10" t="n"/>
      <c r="I39" s="10" t="n"/>
      <c r="J39" s="18">
        <f>IF($E39="","",E39-F39)</f>
        <v/>
      </c>
      <c r="K39" s="31">
        <f>IF($A39="","",SUMIFS(Horas!$D:$D,Horas!$B:$B,$A39,Horas!$C:$C,Parametros!$B$5))</f>
        <v/>
      </c>
      <c r="L39" s="31">
        <f>IF($A39="","",SUMIFS(Horas!$D:$D,Horas!$B:$B,$A39,Horas!$C:$C,Parametros!$B$6))</f>
        <v/>
      </c>
      <c r="M39" s="22">
        <f>IF($E39="","",IF(N(K39)+N(L39)=0,Parametros!$C$5,N(K39)/(N(K39)+N(L39))))</f>
        <v/>
      </c>
      <c r="N39" s="18">
        <f>IF($E39="","",J39*Parametros!$B$11+IF(G39=Parametros!$B$16,J39*Parametros!$B$12,0))</f>
        <v/>
      </c>
      <c r="O39" s="18">
        <f>IF($E39="","",IF(G39=Parametros!$B$5,J39*Parametros!$B$12,0))</f>
        <v/>
      </c>
      <c r="P39" s="18">
        <f>IF($E39="","",IF(G39=Parametros!$B$6,J39*Parametros!$B$12,0))</f>
        <v/>
      </c>
      <c r="Q39" s="18">
        <f>IF($E39="","",IF(H39=Parametros!$B$5,J39*Parametros!$B$13,IF(H39=Parametros!$B$6,0,J39*Parametros!$B$13*Parametros!$C$5)))</f>
        <v/>
      </c>
      <c r="R39" s="18">
        <f>IF($E39="","",IF(H39=Parametros!$B$6,J39*Parametros!$B$13,IF(H39=Parametros!$B$5,0,J39*Parametros!$B$13*Parametros!$C$6)))</f>
        <v/>
      </c>
      <c r="S39" s="18">
        <f>IF($E39="","",J39*Parametros!$B$14*M39)</f>
        <v/>
      </c>
      <c r="T39" s="18">
        <f>IF($E39="","",J39*Parametros!$B$14*(1-M39))</f>
        <v/>
      </c>
      <c r="U39" s="18">
        <f>IF($E39="","",O39+Q39+S39)</f>
        <v/>
      </c>
      <c r="V39" s="18">
        <f>IF($E39="","",P39+R39+T39)</f>
        <v/>
      </c>
      <c r="W39" s="18">
        <f>IF($E39="","",ROUND(J39-N39-U39-V39,2))</f>
        <v/>
      </c>
    </row>
    <row r="40">
      <c r="A40" s="10" t="n"/>
      <c r="B40" s="10" t="n"/>
      <c r="C40" s="10" t="n"/>
      <c r="D40" s="28" t="n"/>
      <c r="E40" s="30" t="n"/>
      <c r="F40" s="30" t="n"/>
      <c r="G40" s="10" t="n"/>
      <c r="H40" s="10" t="n"/>
      <c r="I40" s="10" t="n"/>
      <c r="J40" s="18">
        <f>IF($E40="","",E40-F40)</f>
        <v/>
      </c>
      <c r="K40" s="31">
        <f>IF($A40="","",SUMIFS(Horas!$D:$D,Horas!$B:$B,$A40,Horas!$C:$C,Parametros!$B$5))</f>
        <v/>
      </c>
      <c r="L40" s="31">
        <f>IF($A40="","",SUMIFS(Horas!$D:$D,Horas!$B:$B,$A40,Horas!$C:$C,Parametros!$B$6))</f>
        <v/>
      </c>
      <c r="M40" s="22">
        <f>IF($E40="","",IF(N(K40)+N(L40)=0,Parametros!$C$5,N(K40)/(N(K40)+N(L40))))</f>
        <v/>
      </c>
      <c r="N40" s="18">
        <f>IF($E40="","",J40*Parametros!$B$11+IF(G40=Parametros!$B$16,J40*Parametros!$B$12,0))</f>
        <v/>
      </c>
      <c r="O40" s="18">
        <f>IF($E40="","",IF(G40=Parametros!$B$5,J40*Parametros!$B$12,0))</f>
        <v/>
      </c>
      <c r="P40" s="18">
        <f>IF($E40="","",IF(G40=Parametros!$B$6,J40*Parametros!$B$12,0))</f>
        <v/>
      </c>
      <c r="Q40" s="18">
        <f>IF($E40="","",IF(H40=Parametros!$B$5,J40*Parametros!$B$13,IF(H40=Parametros!$B$6,0,J40*Parametros!$B$13*Parametros!$C$5)))</f>
        <v/>
      </c>
      <c r="R40" s="18">
        <f>IF($E40="","",IF(H40=Parametros!$B$6,J40*Parametros!$B$13,IF(H40=Parametros!$B$5,0,J40*Parametros!$B$13*Parametros!$C$6)))</f>
        <v/>
      </c>
      <c r="S40" s="18">
        <f>IF($E40="","",J40*Parametros!$B$14*M40)</f>
        <v/>
      </c>
      <c r="T40" s="18">
        <f>IF($E40="","",J40*Parametros!$B$14*(1-M40))</f>
        <v/>
      </c>
      <c r="U40" s="18">
        <f>IF($E40="","",O40+Q40+S40)</f>
        <v/>
      </c>
      <c r="V40" s="18">
        <f>IF($E40="","",P40+R40+T40)</f>
        <v/>
      </c>
      <c r="W40" s="18">
        <f>IF($E40="","",ROUND(J40-N40-U40-V40,2))</f>
        <v/>
      </c>
    </row>
    <row r="41">
      <c r="A41" s="10" t="n"/>
      <c r="B41" s="10" t="n"/>
      <c r="C41" s="10" t="n"/>
      <c r="D41" s="28" t="n"/>
      <c r="E41" s="30" t="n"/>
      <c r="F41" s="30" t="n"/>
      <c r="G41" s="10" t="n"/>
      <c r="H41" s="10" t="n"/>
      <c r="I41" s="10" t="n"/>
      <c r="J41" s="18">
        <f>IF($E41="","",E41-F41)</f>
        <v/>
      </c>
      <c r="K41" s="31">
        <f>IF($A41="","",SUMIFS(Horas!$D:$D,Horas!$B:$B,$A41,Horas!$C:$C,Parametros!$B$5))</f>
        <v/>
      </c>
      <c r="L41" s="31">
        <f>IF($A41="","",SUMIFS(Horas!$D:$D,Horas!$B:$B,$A41,Horas!$C:$C,Parametros!$B$6))</f>
        <v/>
      </c>
      <c r="M41" s="22">
        <f>IF($E41="","",IF(N(K41)+N(L41)=0,Parametros!$C$5,N(K41)/(N(K41)+N(L41))))</f>
        <v/>
      </c>
      <c r="N41" s="18">
        <f>IF($E41="","",J41*Parametros!$B$11+IF(G41=Parametros!$B$16,J41*Parametros!$B$12,0))</f>
        <v/>
      </c>
      <c r="O41" s="18">
        <f>IF($E41="","",IF(G41=Parametros!$B$5,J41*Parametros!$B$12,0))</f>
        <v/>
      </c>
      <c r="P41" s="18">
        <f>IF($E41="","",IF(G41=Parametros!$B$6,J41*Parametros!$B$12,0))</f>
        <v/>
      </c>
      <c r="Q41" s="18">
        <f>IF($E41="","",IF(H41=Parametros!$B$5,J41*Parametros!$B$13,IF(H41=Parametros!$B$6,0,J41*Parametros!$B$13*Parametros!$C$5)))</f>
        <v/>
      </c>
      <c r="R41" s="18">
        <f>IF($E41="","",IF(H41=Parametros!$B$6,J41*Parametros!$B$13,IF(H41=Parametros!$B$5,0,J41*Parametros!$B$13*Parametros!$C$6)))</f>
        <v/>
      </c>
      <c r="S41" s="18">
        <f>IF($E41="","",J41*Parametros!$B$14*M41)</f>
        <v/>
      </c>
      <c r="T41" s="18">
        <f>IF($E41="","",J41*Parametros!$B$14*(1-M41))</f>
        <v/>
      </c>
      <c r="U41" s="18">
        <f>IF($E41="","",O41+Q41+S41)</f>
        <v/>
      </c>
      <c r="V41" s="18">
        <f>IF($E41="","",P41+R41+T41)</f>
        <v/>
      </c>
      <c r="W41" s="18">
        <f>IF($E41="","",ROUND(J41-N41-U41-V41,2))</f>
        <v/>
      </c>
    </row>
    <row r="42">
      <c r="A42" s="10" t="n"/>
      <c r="B42" s="10" t="n"/>
      <c r="C42" s="10" t="n"/>
      <c r="D42" s="28" t="n"/>
      <c r="E42" s="30" t="n"/>
      <c r="F42" s="30" t="n"/>
      <c r="G42" s="10" t="n"/>
      <c r="H42" s="10" t="n"/>
      <c r="I42" s="10" t="n"/>
      <c r="J42" s="18">
        <f>IF($E42="","",E42-F42)</f>
        <v/>
      </c>
      <c r="K42" s="31">
        <f>IF($A42="","",SUMIFS(Horas!$D:$D,Horas!$B:$B,$A42,Horas!$C:$C,Parametros!$B$5))</f>
        <v/>
      </c>
      <c r="L42" s="31">
        <f>IF($A42="","",SUMIFS(Horas!$D:$D,Horas!$B:$B,$A42,Horas!$C:$C,Parametros!$B$6))</f>
        <v/>
      </c>
      <c r="M42" s="22">
        <f>IF($E42="","",IF(N(K42)+N(L42)=0,Parametros!$C$5,N(K42)/(N(K42)+N(L42))))</f>
        <v/>
      </c>
      <c r="N42" s="18">
        <f>IF($E42="","",J42*Parametros!$B$11+IF(G42=Parametros!$B$16,J42*Parametros!$B$12,0))</f>
        <v/>
      </c>
      <c r="O42" s="18">
        <f>IF($E42="","",IF(G42=Parametros!$B$5,J42*Parametros!$B$12,0))</f>
        <v/>
      </c>
      <c r="P42" s="18">
        <f>IF($E42="","",IF(G42=Parametros!$B$6,J42*Parametros!$B$12,0))</f>
        <v/>
      </c>
      <c r="Q42" s="18">
        <f>IF($E42="","",IF(H42=Parametros!$B$5,J42*Parametros!$B$13,IF(H42=Parametros!$B$6,0,J42*Parametros!$B$13*Parametros!$C$5)))</f>
        <v/>
      </c>
      <c r="R42" s="18">
        <f>IF($E42="","",IF(H42=Parametros!$B$6,J42*Parametros!$B$13,IF(H42=Parametros!$B$5,0,J42*Parametros!$B$13*Parametros!$C$6)))</f>
        <v/>
      </c>
      <c r="S42" s="18">
        <f>IF($E42="","",J42*Parametros!$B$14*M42)</f>
        <v/>
      </c>
      <c r="T42" s="18">
        <f>IF($E42="","",J42*Parametros!$B$14*(1-M42))</f>
        <v/>
      </c>
      <c r="U42" s="18">
        <f>IF($E42="","",O42+Q42+S42)</f>
        <v/>
      </c>
      <c r="V42" s="18">
        <f>IF($E42="","",P42+R42+T42)</f>
        <v/>
      </c>
      <c r="W42" s="18">
        <f>IF($E42="","",ROUND(J42-N42-U42-V42,2))</f>
        <v/>
      </c>
    </row>
    <row r="43">
      <c r="A43" s="10" t="n"/>
      <c r="B43" s="10" t="n"/>
      <c r="C43" s="10" t="n"/>
      <c r="D43" s="28" t="n"/>
      <c r="E43" s="30" t="n"/>
      <c r="F43" s="30" t="n"/>
      <c r="G43" s="10" t="n"/>
      <c r="H43" s="10" t="n"/>
      <c r="I43" s="10" t="n"/>
      <c r="J43" s="18">
        <f>IF($E43="","",E43-F43)</f>
        <v/>
      </c>
      <c r="K43" s="31">
        <f>IF($A43="","",SUMIFS(Horas!$D:$D,Horas!$B:$B,$A43,Horas!$C:$C,Parametros!$B$5))</f>
        <v/>
      </c>
      <c r="L43" s="31">
        <f>IF($A43="","",SUMIFS(Horas!$D:$D,Horas!$B:$B,$A43,Horas!$C:$C,Parametros!$B$6))</f>
        <v/>
      </c>
      <c r="M43" s="22">
        <f>IF($E43="","",IF(N(K43)+N(L43)=0,Parametros!$C$5,N(K43)/(N(K43)+N(L43))))</f>
        <v/>
      </c>
      <c r="N43" s="18">
        <f>IF($E43="","",J43*Parametros!$B$11+IF(G43=Parametros!$B$16,J43*Parametros!$B$12,0))</f>
        <v/>
      </c>
      <c r="O43" s="18">
        <f>IF($E43="","",IF(G43=Parametros!$B$5,J43*Parametros!$B$12,0))</f>
        <v/>
      </c>
      <c r="P43" s="18">
        <f>IF($E43="","",IF(G43=Parametros!$B$6,J43*Parametros!$B$12,0))</f>
        <v/>
      </c>
      <c r="Q43" s="18">
        <f>IF($E43="","",IF(H43=Parametros!$B$5,J43*Parametros!$B$13,IF(H43=Parametros!$B$6,0,J43*Parametros!$B$13*Parametros!$C$5)))</f>
        <v/>
      </c>
      <c r="R43" s="18">
        <f>IF($E43="","",IF(H43=Parametros!$B$6,J43*Parametros!$B$13,IF(H43=Parametros!$B$5,0,J43*Parametros!$B$13*Parametros!$C$6)))</f>
        <v/>
      </c>
      <c r="S43" s="18">
        <f>IF($E43="","",J43*Parametros!$B$14*M43)</f>
        <v/>
      </c>
      <c r="T43" s="18">
        <f>IF($E43="","",J43*Parametros!$B$14*(1-M43))</f>
        <v/>
      </c>
      <c r="U43" s="18">
        <f>IF($E43="","",O43+Q43+S43)</f>
        <v/>
      </c>
      <c r="V43" s="18">
        <f>IF($E43="","",P43+R43+T43)</f>
        <v/>
      </c>
      <c r="W43" s="18">
        <f>IF($E43="","",ROUND(J43-N43-U43-V43,2))</f>
        <v/>
      </c>
    </row>
    <row r="44">
      <c r="A44" s="10" t="n"/>
      <c r="B44" s="10" t="n"/>
      <c r="C44" s="10" t="n"/>
      <c r="D44" s="28" t="n"/>
      <c r="E44" s="30" t="n"/>
      <c r="F44" s="30" t="n"/>
      <c r="G44" s="10" t="n"/>
      <c r="H44" s="10" t="n"/>
      <c r="I44" s="10" t="n"/>
      <c r="J44" s="18">
        <f>IF($E44="","",E44-F44)</f>
        <v/>
      </c>
      <c r="K44" s="31">
        <f>IF($A44="","",SUMIFS(Horas!$D:$D,Horas!$B:$B,$A44,Horas!$C:$C,Parametros!$B$5))</f>
        <v/>
      </c>
      <c r="L44" s="31">
        <f>IF($A44="","",SUMIFS(Horas!$D:$D,Horas!$B:$B,$A44,Horas!$C:$C,Parametros!$B$6))</f>
        <v/>
      </c>
      <c r="M44" s="22">
        <f>IF($E44="","",IF(N(K44)+N(L44)=0,Parametros!$C$5,N(K44)/(N(K44)+N(L44))))</f>
        <v/>
      </c>
      <c r="N44" s="18">
        <f>IF($E44="","",J44*Parametros!$B$11+IF(G44=Parametros!$B$16,J44*Parametros!$B$12,0))</f>
        <v/>
      </c>
      <c r="O44" s="18">
        <f>IF($E44="","",IF(G44=Parametros!$B$5,J44*Parametros!$B$12,0))</f>
        <v/>
      </c>
      <c r="P44" s="18">
        <f>IF($E44="","",IF(G44=Parametros!$B$6,J44*Parametros!$B$12,0))</f>
        <v/>
      </c>
      <c r="Q44" s="18">
        <f>IF($E44="","",IF(H44=Parametros!$B$5,J44*Parametros!$B$13,IF(H44=Parametros!$B$6,0,J44*Parametros!$B$13*Parametros!$C$5)))</f>
        <v/>
      </c>
      <c r="R44" s="18">
        <f>IF($E44="","",IF(H44=Parametros!$B$6,J44*Parametros!$B$13,IF(H44=Parametros!$B$5,0,J44*Parametros!$B$13*Parametros!$C$6)))</f>
        <v/>
      </c>
      <c r="S44" s="18">
        <f>IF($E44="","",J44*Parametros!$B$14*M44)</f>
        <v/>
      </c>
      <c r="T44" s="18">
        <f>IF($E44="","",J44*Parametros!$B$14*(1-M44))</f>
        <v/>
      </c>
      <c r="U44" s="18">
        <f>IF($E44="","",O44+Q44+S44)</f>
        <v/>
      </c>
      <c r="V44" s="18">
        <f>IF($E44="","",P44+R44+T44)</f>
        <v/>
      </c>
      <c r="W44" s="18">
        <f>IF($E44="","",ROUND(J44-N44-U44-V44,2))</f>
        <v/>
      </c>
    </row>
    <row r="45">
      <c r="A45" s="10" t="n"/>
      <c r="B45" s="10" t="n"/>
      <c r="C45" s="10" t="n"/>
      <c r="D45" s="28" t="n"/>
      <c r="E45" s="30" t="n"/>
      <c r="F45" s="30" t="n"/>
      <c r="G45" s="10" t="n"/>
      <c r="H45" s="10" t="n"/>
      <c r="I45" s="10" t="n"/>
      <c r="J45" s="18">
        <f>IF($E45="","",E45-F45)</f>
        <v/>
      </c>
      <c r="K45" s="31">
        <f>IF($A45="","",SUMIFS(Horas!$D:$D,Horas!$B:$B,$A45,Horas!$C:$C,Parametros!$B$5))</f>
        <v/>
      </c>
      <c r="L45" s="31">
        <f>IF($A45="","",SUMIFS(Horas!$D:$D,Horas!$B:$B,$A45,Horas!$C:$C,Parametros!$B$6))</f>
        <v/>
      </c>
      <c r="M45" s="22">
        <f>IF($E45="","",IF(N(K45)+N(L45)=0,Parametros!$C$5,N(K45)/(N(K45)+N(L45))))</f>
        <v/>
      </c>
      <c r="N45" s="18">
        <f>IF($E45="","",J45*Parametros!$B$11+IF(G45=Parametros!$B$16,J45*Parametros!$B$12,0))</f>
        <v/>
      </c>
      <c r="O45" s="18">
        <f>IF($E45="","",IF(G45=Parametros!$B$5,J45*Parametros!$B$12,0))</f>
        <v/>
      </c>
      <c r="P45" s="18">
        <f>IF($E45="","",IF(G45=Parametros!$B$6,J45*Parametros!$B$12,0))</f>
        <v/>
      </c>
      <c r="Q45" s="18">
        <f>IF($E45="","",IF(H45=Parametros!$B$5,J45*Parametros!$B$13,IF(H45=Parametros!$B$6,0,J45*Parametros!$B$13*Parametros!$C$5)))</f>
        <v/>
      </c>
      <c r="R45" s="18">
        <f>IF($E45="","",IF(H45=Parametros!$B$6,J45*Parametros!$B$13,IF(H45=Parametros!$B$5,0,J45*Parametros!$B$13*Parametros!$C$6)))</f>
        <v/>
      </c>
      <c r="S45" s="18">
        <f>IF($E45="","",J45*Parametros!$B$14*M45)</f>
        <v/>
      </c>
      <c r="T45" s="18">
        <f>IF($E45="","",J45*Parametros!$B$14*(1-M45))</f>
        <v/>
      </c>
      <c r="U45" s="18">
        <f>IF($E45="","",O45+Q45+S45)</f>
        <v/>
      </c>
      <c r="V45" s="18">
        <f>IF($E45="","",P45+R45+T45)</f>
        <v/>
      </c>
      <c r="W45" s="18">
        <f>IF($E45="","",ROUND(J45-N45-U45-V45,2))</f>
        <v/>
      </c>
    </row>
    <row r="46">
      <c r="A46" s="10" t="n"/>
      <c r="B46" s="10" t="n"/>
      <c r="C46" s="10" t="n"/>
      <c r="D46" s="28" t="n"/>
      <c r="E46" s="30" t="n"/>
      <c r="F46" s="30" t="n"/>
      <c r="G46" s="10" t="n"/>
      <c r="H46" s="10" t="n"/>
      <c r="I46" s="10" t="n"/>
      <c r="J46" s="18">
        <f>IF($E46="","",E46-F46)</f>
        <v/>
      </c>
      <c r="K46" s="31">
        <f>IF($A46="","",SUMIFS(Horas!$D:$D,Horas!$B:$B,$A46,Horas!$C:$C,Parametros!$B$5))</f>
        <v/>
      </c>
      <c r="L46" s="31">
        <f>IF($A46="","",SUMIFS(Horas!$D:$D,Horas!$B:$B,$A46,Horas!$C:$C,Parametros!$B$6))</f>
        <v/>
      </c>
      <c r="M46" s="22">
        <f>IF($E46="","",IF(N(K46)+N(L46)=0,Parametros!$C$5,N(K46)/(N(K46)+N(L46))))</f>
        <v/>
      </c>
      <c r="N46" s="18">
        <f>IF($E46="","",J46*Parametros!$B$11+IF(G46=Parametros!$B$16,J46*Parametros!$B$12,0))</f>
        <v/>
      </c>
      <c r="O46" s="18">
        <f>IF($E46="","",IF(G46=Parametros!$B$5,J46*Parametros!$B$12,0))</f>
        <v/>
      </c>
      <c r="P46" s="18">
        <f>IF($E46="","",IF(G46=Parametros!$B$6,J46*Parametros!$B$12,0))</f>
        <v/>
      </c>
      <c r="Q46" s="18">
        <f>IF($E46="","",IF(H46=Parametros!$B$5,J46*Parametros!$B$13,IF(H46=Parametros!$B$6,0,J46*Parametros!$B$13*Parametros!$C$5)))</f>
        <v/>
      </c>
      <c r="R46" s="18">
        <f>IF($E46="","",IF(H46=Parametros!$B$6,J46*Parametros!$B$13,IF(H46=Parametros!$B$5,0,J46*Parametros!$B$13*Parametros!$C$6)))</f>
        <v/>
      </c>
      <c r="S46" s="18">
        <f>IF($E46="","",J46*Parametros!$B$14*M46)</f>
        <v/>
      </c>
      <c r="T46" s="18">
        <f>IF($E46="","",J46*Parametros!$B$14*(1-M46))</f>
        <v/>
      </c>
      <c r="U46" s="18">
        <f>IF($E46="","",O46+Q46+S46)</f>
        <v/>
      </c>
      <c r="V46" s="18">
        <f>IF($E46="","",P46+R46+T46)</f>
        <v/>
      </c>
      <c r="W46" s="18">
        <f>IF($E46="","",ROUND(J46-N46-U46-V46,2))</f>
        <v/>
      </c>
    </row>
    <row r="47">
      <c r="A47" s="10" t="n"/>
      <c r="B47" s="10" t="n"/>
      <c r="C47" s="10" t="n"/>
      <c r="D47" s="28" t="n"/>
      <c r="E47" s="30" t="n"/>
      <c r="F47" s="30" t="n"/>
      <c r="G47" s="10" t="n"/>
      <c r="H47" s="10" t="n"/>
      <c r="I47" s="10" t="n"/>
      <c r="J47" s="18">
        <f>IF($E47="","",E47-F47)</f>
        <v/>
      </c>
      <c r="K47" s="31">
        <f>IF($A47="","",SUMIFS(Horas!$D:$D,Horas!$B:$B,$A47,Horas!$C:$C,Parametros!$B$5))</f>
        <v/>
      </c>
      <c r="L47" s="31">
        <f>IF($A47="","",SUMIFS(Horas!$D:$D,Horas!$B:$B,$A47,Horas!$C:$C,Parametros!$B$6))</f>
        <v/>
      </c>
      <c r="M47" s="22">
        <f>IF($E47="","",IF(N(K47)+N(L47)=0,Parametros!$C$5,N(K47)/(N(K47)+N(L47))))</f>
        <v/>
      </c>
      <c r="N47" s="18">
        <f>IF($E47="","",J47*Parametros!$B$11+IF(G47=Parametros!$B$16,J47*Parametros!$B$12,0))</f>
        <v/>
      </c>
      <c r="O47" s="18">
        <f>IF($E47="","",IF(G47=Parametros!$B$5,J47*Parametros!$B$12,0))</f>
        <v/>
      </c>
      <c r="P47" s="18">
        <f>IF($E47="","",IF(G47=Parametros!$B$6,J47*Parametros!$B$12,0))</f>
        <v/>
      </c>
      <c r="Q47" s="18">
        <f>IF($E47="","",IF(H47=Parametros!$B$5,J47*Parametros!$B$13,IF(H47=Parametros!$B$6,0,J47*Parametros!$B$13*Parametros!$C$5)))</f>
        <v/>
      </c>
      <c r="R47" s="18">
        <f>IF($E47="","",IF(H47=Parametros!$B$6,J47*Parametros!$B$13,IF(H47=Parametros!$B$5,0,J47*Parametros!$B$13*Parametros!$C$6)))</f>
        <v/>
      </c>
      <c r="S47" s="18">
        <f>IF($E47="","",J47*Parametros!$B$14*M47)</f>
        <v/>
      </c>
      <c r="T47" s="18">
        <f>IF($E47="","",J47*Parametros!$B$14*(1-M47))</f>
        <v/>
      </c>
      <c r="U47" s="18">
        <f>IF($E47="","",O47+Q47+S47)</f>
        <v/>
      </c>
      <c r="V47" s="18">
        <f>IF($E47="","",P47+R47+T47)</f>
        <v/>
      </c>
      <c r="W47" s="18">
        <f>IF($E47="","",ROUND(J47-N47-U47-V47,2))</f>
        <v/>
      </c>
    </row>
    <row r="48">
      <c r="A48" s="10" t="n"/>
      <c r="B48" s="10" t="n"/>
      <c r="C48" s="10" t="n"/>
      <c r="D48" s="28" t="n"/>
      <c r="E48" s="30" t="n"/>
      <c r="F48" s="30" t="n"/>
      <c r="G48" s="10" t="n"/>
      <c r="H48" s="10" t="n"/>
      <c r="I48" s="10" t="n"/>
      <c r="J48" s="18">
        <f>IF($E48="","",E48-F48)</f>
        <v/>
      </c>
      <c r="K48" s="31">
        <f>IF($A48="","",SUMIFS(Horas!$D:$D,Horas!$B:$B,$A48,Horas!$C:$C,Parametros!$B$5))</f>
        <v/>
      </c>
      <c r="L48" s="31">
        <f>IF($A48="","",SUMIFS(Horas!$D:$D,Horas!$B:$B,$A48,Horas!$C:$C,Parametros!$B$6))</f>
        <v/>
      </c>
      <c r="M48" s="22">
        <f>IF($E48="","",IF(N(K48)+N(L48)=0,Parametros!$C$5,N(K48)/(N(K48)+N(L48))))</f>
        <v/>
      </c>
      <c r="N48" s="18">
        <f>IF($E48="","",J48*Parametros!$B$11+IF(G48=Parametros!$B$16,J48*Parametros!$B$12,0))</f>
        <v/>
      </c>
      <c r="O48" s="18">
        <f>IF($E48="","",IF(G48=Parametros!$B$5,J48*Parametros!$B$12,0))</f>
        <v/>
      </c>
      <c r="P48" s="18">
        <f>IF($E48="","",IF(G48=Parametros!$B$6,J48*Parametros!$B$12,0))</f>
        <v/>
      </c>
      <c r="Q48" s="18">
        <f>IF($E48="","",IF(H48=Parametros!$B$5,J48*Parametros!$B$13,IF(H48=Parametros!$B$6,0,J48*Parametros!$B$13*Parametros!$C$5)))</f>
        <v/>
      </c>
      <c r="R48" s="18">
        <f>IF($E48="","",IF(H48=Parametros!$B$6,J48*Parametros!$B$13,IF(H48=Parametros!$B$5,0,J48*Parametros!$B$13*Parametros!$C$6)))</f>
        <v/>
      </c>
      <c r="S48" s="18">
        <f>IF($E48="","",J48*Parametros!$B$14*M48)</f>
        <v/>
      </c>
      <c r="T48" s="18">
        <f>IF($E48="","",J48*Parametros!$B$14*(1-M48))</f>
        <v/>
      </c>
      <c r="U48" s="18">
        <f>IF($E48="","",O48+Q48+S48)</f>
        <v/>
      </c>
      <c r="V48" s="18">
        <f>IF($E48="","",P48+R48+T48)</f>
        <v/>
      </c>
      <c r="W48" s="18">
        <f>IF($E48="","",ROUND(J48-N48-U48-V48,2))</f>
        <v/>
      </c>
    </row>
    <row r="49">
      <c r="A49" s="10" t="n"/>
      <c r="B49" s="10" t="n"/>
      <c r="C49" s="10" t="n"/>
      <c r="D49" s="28" t="n"/>
      <c r="E49" s="30" t="n"/>
      <c r="F49" s="30" t="n"/>
      <c r="G49" s="10" t="n"/>
      <c r="H49" s="10" t="n"/>
      <c r="I49" s="10" t="n"/>
      <c r="J49" s="18">
        <f>IF($E49="","",E49-F49)</f>
        <v/>
      </c>
      <c r="K49" s="31">
        <f>IF($A49="","",SUMIFS(Horas!$D:$D,Horas!$B:$B,$A49,Horas!$C:$C,Parametros!$B$5))</f>
        <v/>
      </c>
      <c r="L49" s="31">
        <f>IF($A49="","",SUMIFS(Horas!$D:$D,Horas!$B:$B,$A49,Horas!$C:$C,Parametros!$B$6))</f>
        <v/>
      </c>
      <c r="M49" s="22">
        <f>IF($E49="","",IF(N(K49)+N(L49)=0,Parametros!$C$5,N(K49)/(N(K49)+N(L49))))</f>
        <v/>
      </c>
      <c r="N49" s="18">
        <f>IF($E49="","",J49*Parametros!$B$11+IF(G49=Parametros!$B$16,J49*Parametros!$B$12,0))</f>
        <v/>
      </c>
      <c r="O49" s="18">
        <f>IF($E49="","",IF(G49=Parametros!$B$5,J49*Parametros!$B$12,0))</f>
        <v/>
      </c>
      <c r="P49" s="18">
        <f>IF($E49="","",IF(G49=Parametros!$B$6,J49*Parametros!$B$12,0))</f>
        <v/>
      </c>
      <c r="Q49" s="18">
        <f>IF($E49="","",IF(H49=Parametros!$B$5,J49*Parametros!$B$13,IF(H49=Parametros!$B$6,0,J49*Parametros!$B$13*Parametros!$C$5)))</f>
        <v/>
      </c>
      <c r="R49" s="18">
        <f>IF($E49="","",IF(H49=Parametros!$B$6,J49*Parametros!$B$13,IF(H49=Parametros!$B$5,0,J49*Parametros!$B$13*Parametros!$C$6)))</f>
        <v/>
      </c>
      <c r="S49" s="18">
        <f>IF($E49="","",J49*Parametros!$B$14*M49)</f>
        <v/>
      </c>
      <c r="T49" s="18">
        <f>IF($E49="","",J49*Parametros!$B$14*(1-M49))</f>
        <v/>
      </c>
      <c r="U49" s="18">
        <f>IF($E49="","",O49+Q49+S49)</f>
        <v/>
      </c>
      <c r="V49" s="18">
        <f>IF($E49="","",P49+R49+T49)</f>
        <v/>
      </c>
      <c r="W49" s="18">
        <f>IF($E49="","",ROUND(J49-N49-U49-V49,2))</f>
        <v/>
      </c>
    </row>
    <row r="50">
      <c r="A50" s="10" t="n"/>
      <c r="B50" s="10" t="n"/>
      <c r="C50" s="10" t="n"/>
      <c r="D50" s="28" t="n"/>
      <c r="E50" s="30" t="n"/>
      <c r="F50" s="30" t="n"/>
      <c r="G50" s="10" t="n"/>
      <c r="H50" s="10" t="n"/>
      <c r="I50" s="10" t="n"/>
      <c r="J50" s="18">
        <f>IF($E50="","",E50-F50)</f>
        <v/>
      </c>
      <c r="K50" s="31">
        <f>IF($A50="","",SUMIFS(Horas!$D:$D,Horas!$B:$B,$A50,Horas!$C:$C,Parametros!$B$5))</f>
        <v/>
      </c>
      <c r="L50" s="31">
        <f>IF($A50="","",SUMIFS(Horas!$D:$D,Horas!$B:$B,$A50,Horas!$C:$C,Parametros!$B$6))</f>
        <v/>
      </c>
      <c r="M50" s="22">
        <f>IF($E50="","",IF(N(K50)+N(L50)=0,Parametros!$C$5,N(K50)/(N(K50)+N(L50))))</f>
        <v/>
      </c>
      <c r="N50" s="18">
        <f>IF($E50="","",J50*Parametros!$B$11+IF(G50=Parametros!$B$16,J50*Parametros!$B$12,0))</f>
        <v/>
      </c>
      <c r="O50" s="18">
        <f>IF($E50="","",IF(G50=Parametros!$B$5,J50*Parametros!$B$12,0))</f>
        <v/>
      </c>
      <c r="P50" s="18">
        <f>IF($E50="","",IF(G50=Parametros!$B$6,J50*Parametros!$B$12,0))</f>
        <v/>
      </c>
      <c r="Q50" s="18">
        <f>IF($E50="","",IF(H50=Parametros!$B$5,J50*Parametros!$B$13,IF(H50=Parametros!$B$6,0,J50*Parametros!$B$13*Parametros!$C$5)))</f>
        <v/>
      </c>
      <c r="R50" s="18">
        <f>IF($E50="","",IF(H50=Parametros!$B$6,J50*Parametros!$B$13,IF(H50=Parametros!$B$5,0,J50*Parametros!$B$13*Parametros!$C$6)))</f>
        <v/>
      </c>
      <c r="S50" s="18">
        <f>IF($E50="","",J50*Parametros!$B$14*M50)</f>
        <v/>
      </c>
      <c r="T50" s="18">
        <f>IF($E50="","",J50*Parametros!$B$14*(1-M50))</f>
        <v/>
      </c>
      <c r="U50" s="18">
        <f>IF($E50="","",O50+Q50+S50)</f>
        <v/>
      </c>
      <c r="V50" s="18">
        <f>IF($E50="","",P50+R50+T50)</f>
        <v/>
      </c>
      <c r="W50" s="18">
        <f>IF($E50="","",ROUND(J50-N50-U50-V50,2))</f>
        <v/>
      </c>
    </row>
    <row r="51">
      <c r="A51" s="10" t="n"/>
      <c r="B51" s="10" t="n"/>
      <c r="C51" s="10" t="n"/>
      <c r="D51" s="28" t="n"/>
      <c r="E51" s="30" t="n"/>
      <c r="F51" s="30" t="n"/>
      <c r="G51" s="10" t="n"/>
      <c r="H51" s="10" t="n"/>
      <c r="I51" s="10" t="n"/>
      <c r="J51" s="18">
        <f>IF($E51="","",E51-F51)</f>
        <v/>
      </c>
      <c r="K51" s="31">
        <f>IF($A51="","",SUMIFS(Horas!$D:$D,Horas!$B:$B,$A51,Horas!$C:$C,Parametros!$B$5))</f>
        <v/>
      </c>
      <c r="L51" s="31">
        <f>IF($A51="","",SUMIFS(Horas!$D:$D,Horas!$B:$B,$A51,Horas!$C:$C,Parametros!$B$6))</f>
        <v/>
      </c>
      <c r="M51" s="22">
        <f>IF($E51="","",IF(N(K51)+N(L51)=0,Parametros!$C$5,N(K51)/(N(K51)+N(L51))))</f>
        <v/>
      </c>
      <c r="N51" s="18">
        <f>IF($E51="","",J51*Parametros!$B$11+IF(G51=Parametros!$B$16,J51*Parametros!$B$12,0))</f>
        <v/>
      </c>
      <c r="O51" s="18">
        <f>IF($E51="","",IF(G51=Parametros!$B$5,J51*Parametros!$B$12,0))</f>
        <v/>
      </c>
      <c r="P51" s="18">
        <f>IF($E51="","",IF(G51=Parametros!$B$6,J51*Parametros!$B$12,0))</f>
        <v/>
      </c>
      <c r="Q51" s="18">
        <f>IF($E51="","",IF(H51=Parametros!$B$5,J51*Parametros!$B$13,IF(H51=Parametros!$B$6,0,J51*Parametros!$B$13*Parametros!$C$5)))</f>
        <v/>
      </c>
      <c r="R51" s="18">
        <f>IF($E51="","",IF(H51=Parametros!$B$6,J51*Parametros!$B$13,IF(H51=Parametros!$B$5,0,J51*Parametros!$B$13*Parametros!$C$6)))</f>
        <v/>
      </c>
      <c r="S51" s="18">
        <f>IF($E51="","",J51*Parametros!$B$14*M51)</f>
        <v/>
      </c>
      <c r="T51" s="18">
        <f>IF($E51="","",J51*Parametros!$B$14*(1-M51))</f>
        <v/>
      </c>
      <c r="U51" s="18">
        <f>IF($E51="","",O51+Q51+S51)</f>
        <v/>
      </c>
      <c r="V51" s="18">
        <f>IF($E51="","",P51+R51+T51)</f>
        <v/>
      </c>
      <c r="W51" s="18">
        <f>IF($E51="","",ROUND(J51-N51-U51-V51,2))</f>
        <v/>
      </c>
    </row>
    <row r="52">
      <c r="A52" s="10" t="n"/>
      <c r="B52" s="10" t="n"/>
      <c r="C52" s="10" t="n"/>
      <c r="D52" s="28" t="n"/>
      <c r="E52" s="30" t="n"/>
      <c r="F52" s="30" t="n"/>
      <c r="G52" s="10" t="n"/>
      <c r="H52" s="10" t="n"/>
      <c r="I52" s="10" t="n"/>
      <c r="J52" s="18">
        <f>IF($E52="","",E52-F52)</f>
        <v/>
      </c>
      <c r="K52" s="31">
        <f>IF($A52="","",SUMIFS(Horas!$D:$D,Horas!$B:$B,$A52,Horas!$C:$C,Parametros!$B$5))</f>
        <v/>
      </c>
      <c r="L52" s="31">
        <f>IF($A52="","",SUMIFS(Horas!$D:$D,Horas!$B:$B,$A52,Horas!$C:$C,Parametros!$B$6))</f>
        <v/>
      </c>
      <c r="M52" s="22">
        <f>IF($E52="","",IF(N(K52)+N(L52)=0,Parametros!$C$5,N(K52)/(N(K52)+N(L52))))</f>
        <v/>
      </c>
      <c r="N52" s="18">
        <f>IF($E52="","",J52*Parametros!$B$11+IF(G52=Parametros!$B$16,J52*Parametros!$B$12,0))</f>
        <v/>
      </c>
      <c r="O52" s="18">
        <f>IF($E52="","",IF(G52=Parametros!$B$5,J52*Parametros!$B$12,0))</f>
        <v/>
      </c>
      <c r="P52" s="18">
        <f>IF($E52="","",IF(G52=Parametros!$B$6,J52*Parametros!$B$12,0))</f>
        <v/>
      </c>
      <c r="Q52" s="18">
        <f>IF($E52="","",IF(H52=Parametros!$B$5,J52*Parametros!$B$13,IF(H52=Parametros!$B$6,0,J52*Parametros!$B$13*Parametros!$C$5)))</f>
        <v/>
      </c>
      <c r="R52" s="18">
        <f>IF($E52="","",IF(H52=Parametros!$B$6,J52*Parametros!$B$13,IF(H52=Parametros!$B$5,0,J52*Parametros!$B$13*Parametros!$C$6)))</f>
        <v/>
      </c>
      <c r="S52" s="18">
        <f>IF($E52="","",J52*Parametros!$B$14*M52)</f>
        <v/>
      </c>
      <c r="T52" s="18">
        <f>IF($E52="","",J52*Parametros!$B$14*(1-M52))</f>
        <v/>
      </c>
      <c r="U52" s="18">
        <f>IF($E52="","",O52+Q52+S52)</f>
        <v/>
      </c>
      <c r="V52" s="18">
        <f>IF($E52="","",P52+R52+T52)</f>
        <v/>
      </c>
      <c r="W52" s="18">
        <f>IF($E52="","",ROUND(J52-N52-U52-V52,2))</f>
        <v/>
      </c>
    </row>
    <row r="53">
      <c r="A53" s="10" t="n"/>
      <c r="B53" s="10" t="n"/>
      <c r="C53" s="10" t="n"/>
      <c r="D53" s="28" t="n"/>
      <c r="E53" s="30" t="n"/>
      <c r="F53" s="30" t="n"/>
      <c r="G53" s="10" t="n"/>
      <c r="H53" s="10" t="n"/>
      <c r="I53" s="10" t="n"/>
      <c r="J53" s="18">
        <f>IF($E53="","",E53-F53)</f>
        <v/>
      </c>
      <c r="K53" s="31">
        <f>IF($A53="","",SUMIFS(Horas!$D:$D,Horas!$B:$B,$A53,Horas!$C:$C,Parametros!$B$5))</f>
        <v/>
      </c>
      <c r="L53" s="31">
        <f>IF($A53="","",SUMIFS(Horas!$D:$D,Horas!$B:$B,$A53,Horas!$C:$C,Parametros!$B$6))</f>
        <v/>
      </c>
      <c r="M53" s="22">
        <f>IF($E53="","",IF(N(K53)+N(L53)=0,Parametros!$C$5,N(K53)/(N(K53)+N(L53))))</f>
        <v/>
      </c>
      <c r="N53" s="18">
        <f>IF($E53="","",J53*Parametros!$B$11+IF(G53=Parametros!$B$16,J53*Parametros!$B$12,0))</f>
        <v/>
      </c>
      <c r="O53" s="18">
        <f>IF($E53="","",IF(G53=Parametros!$B$5,J53*Parametros!$B$12,0))</f>
        <v/>
      </c>
      <c r="P53" s="18">
        <f>IF($E53="","",IF(G53=Parametros!$B$6,J53*Parametros!$B$12,0))</f>
        <v/>
      </c>
      <c r="Q53" s="18">
        <f>IF($E53="","",IF(H53=Parametros!$B$5,J53*Parametros!$B$13,IF(H53=Parametros!$B$6,0,J53*Parametros!$B$13*Parametros!$C$5)))</f>
        <v/>
      </c>
      <c r="R53" s="18">
        <f>IF($E53="","",IF(H53=Parametros!$B$6,J53*Parametros!$B$13,IF(H53=Parametros!$B$5,0,J53*Parametros!$B$13*Parametros!$C$6)))</f>
        <v/>
      </c>
      <c r="S53" s="18">
        <f>IF($E53="","",J53*Parametros!$B$14*M53)</f>
        <v/>
      </c>
      <c r="T53" s="18">
        <f>IF($E53="","",J53*Parametros!$B$14*(1-M53))</f>
        <v/>
      </c>
      <c r="U53" s="18">
        <f>IF($E53="","",O53+Q53+S53)</f>
        <v/>
      </c>
      <c r="V53" s="18">
        <f>IF($E53="","",P53+R53+T53)</f>
        <v/>
      </c>
      <c r="W53" s="18">
        <f>IF($E53="","",ROUND(J53-N53-U53-V53,2))</f>
        <v/>
      </c>
    </row>
    <row r="54">
      <c r="A54" s="10" t="n"/>
      <c r="B54" s="10" t="n"/>
      <c r="C54" s="10" t="n"/>
      <c r="D54" s="28" t="n"/>
      <c r="E54" s="30" t="n"/>
      <c r="F54" s="30" t="n"/>
      <c r="G54" s="10" t="n"/>
      <c r="H54" s="10" t="n"/>
      <c r="I54" s="10" t="n"/>
      <c r="J54" s="18">
        <f>IF($E54="","",E54-F54)</f>
        <v/>
      </c>
      <c r="K54" s="31">
        <f>IF($A54="","",SUMIFS(Horas!$D:$D,Horas!$B:$B,$A54,Horas!$C:$C,Parametros!$B$5))</f>
        <v/>
      </c>
      <c r="L54" s="31">
        <f>IF($A54="","",SUMIFS(Horas!$D:$D,Horas!$B:$B,$A54,Horas!$C:$C,Parametros!$B$6))</f>
        <v/>
      </c>
      <c r="M54" s="22">
        <f>IF($E54="","",IF(N(K54)+N(L54)=0,Parametros!$C$5,N(K54)/(N(K54)+N(L54))))</f>
        <v/>
      </c>
      <c r="N54" s="18">
        <f>IF($E54="","",J54*Parametros!$B$11+IF(G54=Parametros!$B$16,J54*Parametros!$B$12,0))</f>
        <v/>
      </c>
      <c r="O54" s="18">
        <f>IF($E54="","",IF(G54=Parametros!$B$5,J54*Parametros!$B$12,0))</f>
        <v/>
      </c>
      <c r="P54" s="18">
        <f>IF($E54="","",IF(G54=Parametros!$B$6,J54*Parametros!$B$12,0))</f>
        <v/>
      </c>
      <c r="Q54" s="18">
        <f>IF($E54="","",IF(H54=Parametros!$B$5,J54*Parametros!$B$13,IF(H54=Parametros!$B$6,0,J54*Parametros!$B$13*Parametros!$C$5)))</f>
        <v/>
      </c>
      <c r="R54" s="18">
        <f>IF($E54="","",IF(H54=Parametros!$B$6,J54*Parametros!$B$13,IF(H54=Parametros!$B$5,0,J54*Parametros!$B$13*Parametros!$C$6)))</f>
        <v/>
      </c>
      <c r="S54" s="18">
        <f>IF($E54="","",J54*Parametros!$B$14*M54)</f>
        <v/>
      </c>
      <c r="T54" s="18">
        <f>IF($E54="","",J54*Parametros!$B$14*(1-M54))</f>
        <v/>
      </c>
      <c r="U54" s="18">
        <f>IF($E54="","",O54+Q54+S54)</f>
        <v/>
      </c>
      <c r="V54" s="18">
        <f>IF($E54="","",P54+R54+T54)</f>
        <v/>
      </c>
      <c r="W54" s="18">
        <f>IF($E54="","",ROUND(J54-N54-U54-V54,2))</f>
        <v/>
      </c>
    </row>
    <row r="55">
      <c r="A55" s="10" t="n"/>
      <c r="B55" s="10" t="n"/>
      <c r="C55" s="10" t="n"/>
      <c r="D55" s="28" t="n"/>
      <c r="E55" s="30" t="n"/>
      <c r="F55" s="30" t="n"/>
      <c r="G55" s="10" t="n"/>
      <c r="H55" s="10" t="n"/>
      <c r="I55" s="10" t="n"/>
      <c r="J55" s="18">
        <f>IF($E55="","",E55-F55)</f>
        <v/>
      </c>
      <c r="K55" s="31">
        <f>IF($A55="","",SUMIFS(Horas!$D:$D,Horas!$B:$B,$A55,Horas!$C:$C,Parametros!$B$5))</f>
        <v/>
      </c>
      <c r="L55" s="31">
        <f>IF($A55="","",SUMIFS(Horas!$D:$D,Horas!$B:$B,$A55,Horas!$C:$C,Parametros!$B$6))</f>
        <v/>
      </c>
      <c r="M55" s="22">
        <f>IF($E55="","",IF(N(K55)+N(L55)=0,Parametros!$C$5,N(K55)/(N(K55)+N(L55))))</f>
        <v/>
      </c>
      <c r="N55" s="18">
        <f>IF($E55="","",J55*Parametros!$B$11+IF(G55=Parametros!$B$16,J55*Parametros!$B$12,0))</f>
        <v/>
      </c>
      <c r="O55" s="18">
        <f>IF($E55="","",IF(G55=Parametros!$B$5,J55*Parametros!$B$12,0))</f>
        <v/>
      </c>
      <c r="P55" s="18">
        <f>IF($E55="","",IF(G55=Parametros!$B$6,J55*Parametros!$B$12,0))</f>
        <v/>
      </c>
      <c r="Q55" s="18">
        <f>IF($E55="","",IF(H55=Parametros!$B$5,J55*Parametros!$B$13,IF(H55=Parametros!$B$6,0,J55*Parametros!$B$13*Parametros!$C$5)))</f>
        <v/>
      </c>
      <c r="R55" s="18">
        <f>IF($E55="","",IF(H55=Parametros!$B$6,J55*Parametros!$B$13,IF(H55=Parametros!$B$5,0,J55*Parametros!$B$13*Parametros!$C$6)))</f>
        <v/>
      </c>
      <c r="S55" s="18">
        <f>IF($E55="","",J55*Parametros!$B$14*M55)</f>
        <v/>
      </c>
      <c r="T55" s="18">
        <f>IF($E55="","",J55*Parametros!$B$14*(1-M55))</f>
        <v/>
      </c>
      <c r="U55" s="18">
        <f>IF($E55="","",O55+Q55+S55)</f>
        <v/>
      </c>
      <c r="V55" s="18">
        <f>IF($E55="","",P55+R55+T55)</f>
        <v/>
      </c>
      <c r="W55" s="18">
        <f>IF($E55="","",ROUND(J55-N55-U55-V55,2))</f>
        <v/>
      </c>
    </row>
    <row r="56">
      <c r="A56" s="10" t="n"/>
      <c r="B56" s="10" t="n"/>
      <c r="C56" s="10" t="n"/>
      <c r="D56" s="28" t="n"/>
      <c r="E56" s="30" t="n"/>
      <c r="F56" s="30" t="n"/>
      <c r="G56" s="10" t="n"/>
      <c r="H56" s="10" t="n"/>
      <c r="I56" s="10" t="n"/>
      <c r="J56" s="18">
        <f>IF($E56="","",E56-F56)</f>
        <v/>
      </c>
      <c r="K56" s="31">
        <f>IF($A56="","",SUMIFS(Horas!$D:$D,Horas!$B:$B,$A56,Horas!$C:$C,Parametros!$B$5))</f>
        <v/>
      </c>
      <c r="L56" s="31">
        <f>IF($A56="","",SUMIFS(Horas!$D:$D,Horas!$B:$B,$A56,Horas!$C:$C,Parametros!$B$6))</f>
        <v/>
      </c>
      <c r="M56" s="22">
        <f>IF($E56="","",IF(N(K56)+N(L56)=0,Parametros!$C$5,N(K56)/(N(K56)+N(L56))))</f>
        <v/>
      </c>
      <c r="N56" s="18">
        <f>IF($E56="","",J56*Parametros!$B$11+IF(G56=Parametros!$B$16,J56*Parametros!$B$12,0))</f>
        <v/>
      </c>
      <c r="O56" s="18">
        <f>IF($E56="","",IF(G56=Parametros!$B$5,J56*Parametros!$B$12,0))</f>
        <v/>
      </c>
      <c r="P56" s="18">
        <f>IF($E56="","",IF(G56=Parametros!$B$6,J56*Parametros!$B$12,0))</f>
        <v/>
      </c>
      <c r="Q56" s="18">
        <f>IF($E56="","",IF(H56=Parametros!$B$5,J56*Parametros!$B$13,IF(H56=Parametros!$B$6,0,J56*Parametros!$B$13*Parametros!$C$5)))</f>
        <v/>
      </c>
      <c r="R56" s="18">
        <f>IF($E56="","",IF(H56=Parametros!$B$6,J56*Parametros!$B$13,IF(H56=Parametros!$B$5,0,J56*Parametros!$B$13*Parametros!$C$6)))</f>
        <v/>
      </c>
      <c r="S56" s="18">
        <f>IF($E56="","",J56*Parametros!$B$14*M56)</f>
        <v/>
      </c>
      <c r="T56" s="18">
        <f>IF($E56="","",J56*Parametros!$B$14*(1-M56))</f>
        <v/>
      </c>
      <c r="U56" s="18">
        <f>IF($E56="","",O56+Q56+S56)</f>
        <v/>
      </c>
      <c r="V56" s="18">
        <f>IF($E56="","",P56+R56+T56)</f>
        <v/>
      </c>
      <c r="W56" s="18">
        <f>IF($E56="","",ROUND(J56-N56-U56-V56,2))</f>
        <v/>
      </c>
    </row>
    <row r="57">
      <c r="A57" s="10" t="n"/>
      <c r="B57" s="10" t="n"/>
      <c r="C57" s="10" t="n"/>
      <c r="D57" s="28" t="n"/>
      <c r="E57" s="30" t="n"/>
      <c r="F57" s="30" t="n"/>
      <c r="G57" s="10" t="n"/>
      <c r="H57" s="10" t="n"/>
      <c r="I57" s="10" t="n"/>
      <c r="J57" s="18">
        <f>IF($E57="","",E57-F57)</f>
        <v/>
      </c>
      <c r="K57" s="31">
        <f>IF($A57="","",SUMIFS(Horas!$D:$D,Horas!$B:$B,$A57,Horas!$C:$C,Parametros!$B$5))</f>
        <v/>
      </c>
      <c r="L57" s="31">
        <f>IF($A57="","",SUMIFS(Horas!$D:$D,Horas!$B:$B,$A57,Horas!$C:$C,Parametros!$B$6))</f>
        <v/>
      </c>
      <c r="M57" s="22">
        <f>IF($E57="","",IF(N(K57)+N(L57)=0,Parametros!$C$5,N(K57)/(N(K57)+N(L57))))</f>
        <v/>
      </c>
      <c r="N57" s="18">
        <f>IF($E57="","",J57*Parametros!$B$11+IF(G57=Parametros!$B$16,J57*Parametros!$B$12,0))</f>
        <v/>
      </c>
      <c r="O57" s="18">
        <f>IF($E57="","",IF(G57=Parametros!$B$5,J57*Parametros!$B$12,0))</f>
        <v/>
      </c>
      <c r="P57" s="18">
        <f>IF($E57="","",IF(G57=Parametros!$B$6,J57*Parametros!$B$12,0))</f>
        <v/>
      </c>
      <c r="Q57" s="18">
        <f>IF($E57="","",IF(H57=Parametros!$B$5,J57*Parametros!$B$13,IF(H57=Parametros!$B$6,0,J57*Parametros!$B$13*Parametros!$C$5)))</f>
        <v/>
      </c>
      <c r="R57" s="18">
        <f>IF($E57="","",IF(H57=Parametros!$B$6,J57*Parametros!$B$13,IF(H57=Parametros!$B$5,0,J57*Parametros!$B$13*Parametros!$C$6)))</f>
        <v/>
      </c>
      <c r="S57" s="18">
        <f>IF($E57="","",J57*Parametros!$B$14*M57)</f>
        <v/>
      </c>
      <c r="T57" s="18">
        <f>IF($E57="","",J57*Parametros!$B$14*(1-M57))</f>
        <v/>
      </c>
      <c r="U57" s="18">
        <f>IF($E57="","",O57+Q57+S57)</f>
        <v/>
      </c>
      <c r="V57" s="18">
        <f>IF($E57="","",P57+R57+T57)</f>
        <v/>
      </c>
      <c r="W57" s="18">
        <f>IF($E57="","",ROUND(J57-N57-U57-V57,2))</f>
        <v/>
      </c>
    </row>
    <row r="58">
      <c r="A58" s="10" t="n"/>
      <c r="B58" s="10" t="n"/>
      <c r="C58" s="10" t="n"/>
      <c r="D58" s="28" t="n"/>
      <c r="E58" s="30" t="n"/>
      <c r="F58" s="30" t="n"/>
      <c r="G58" s="10" t="n"/>
      <c r="H58" s="10" t="n"/>
      <c r="I58" s="10" t="n"/>
      <c r="J58" s="18">
        <f>IF($E58="","",E58-F58)</f>
        <v/>
      </c>
      <c r="K58" s="31">
        <f>IF($A58="","",SUMIFS(Horas!$D:$D,Horas!$B:$B,$A58,Horas!$C:$C,Parametros!$B$5))</f>
        <v/>
      </c>
      <c r="L58" s="31">
        <f>IF($A58="","",SUMIFS(Horas!$D:$D,Horas!$B:$B,$A58,Horas!$C:$C,Parametros!$B$6))</f>
        <v/>
      </c>
      <c r="M58" s="22">
        <f>IF($E58="","",IF(N(K58)+N(L58)=0,Parametros!$C$5,N(K58)/(N(K58)+N(L58))))</f>
        <v/>
      </c>
      <c r="N58" s="18">
        <f>IF($E58="","",J58*Parametros!$B$11+IF(G58=Parametros!$B$16,J58*Parametros!$B$12,0))</f>
        <v/>
      </c>
      <c r="O58" s="18">
        <f>IF($E58="","",IF(G58=Parametros!$B$5,J58*Parametros!$B$12,0))</f>
        <v/>
      </c>
      <c r="P58" s="18">
        <f>IF($E58="","",IF(G58=Parametros!$B$6,J58*Parametros!$B$12,0))</f>
        <v/>
      </c>
      <c r="Q58" s="18">
        <f>IF($E58="","",IF(H58=Parametros!$B$5,J58*Parametros!$B$13,IF(H58=Parametros!$B$6,0,J58*Parametros!$B$13*Parametros!$C$5)))</f>
        <v/>
      </c>
      <c r="R58" s="18">
        <f>IF($E58="","",IF(H58=Parametros!$B$6,J58*Parametros!$B$13,IF(H58=Parametros!$B$5,0,J58*Parametros!$B$13*Parametros!$C$6)))</f>
        <v/>
      </c>
      <c r="S58" s="18">
        <f>IF($E58="","",J58*Parametros!$B$14*M58)</f>
        <v/>
      </c>
      <c r="T58" s="18">
        <f>IF($E58="","",J58*Parametros!$B$14*(1-M58))</f>
        <v/>
      </c>
      <c r="U58" s="18">
        <f>IF($E58="","",O58+Q58+S58)</f>
        <v/>
      </c>
      <c r="V58" s="18">
        <f>IF($E58="","",P58+R58+T58)</f>
        <v/>
      </c>
      <c r="W58" s="18">
        <f>IF($E58="","",ROUND(J58-N58-U58-V58,2))</f>
        <v/>
      </c>
    </row>
    <row r="59">
      <c r="A59" s="10" t="n"/>
      <c r="B59" s="10" t="n"/>
      <c r="C59" s="10" t="n"/>
      <c r="D59" s="28" t="n"/>
      <c r="E59" s="30" t="n"/>
      <c r="F59" s="30" t="n"/>
      <c r="G59" s="10" t="n"/>
      <c r="H59" s="10" t="n"/>
      <c r="I59" s="10" t="n"/>
      <c r="J59" s="18">
        <f>IF($E59="","",E59-F59)</f>
        <v/>
      </c>
      <c r="K59" s="31">
        <f>IF($A59="","",SUMIFS(Horas!$D:$D,Horas!$B:$B,$A59,Horas!$C:$C,Parametros!$B$5))</f>
        <v/>
      </c>
      <c r="L59" s="31">
        <f>IF($A59="","",SUMIFS(Horas!$D:$D,Horas!$B:$B,$A59,Horas!$C:$C,Parametros!$B$6))</f>
        <v/>
      </c>
      <c r="M59" s="22">
        <f>IF($E59="","",IF(N(K59)+N(L59)=0,Parametros!$C$5,N(K59)/(N(K59)+N(L59))))</f>
        <v/>
      </c>
      <c r="N59" s="18">
        <f>IF($E59="","",J59*Parametros!$B$11+IF(G59=Parametros!$B$16,J59*Parametros!$B$12,0))</f>
        <v/>
      </c>
      <c r="O59" s="18">
        <f>IF($E59="","",IF(G59=Parametros!$B$5,J59*Parametros!$B$12,0))</f>
        <v/>
      </c>
      <c r="P59" s="18">
        <f>IF($E59="","",IF(G59=Parametros!$B$6,J59*Parametros!$B$12,0))</f>
        <v/>
      </c>
      <c r="Q59" s="18">
        <f>IF($E59="","",IF(H59=Parametros!$B$5,J59*Parametros!$B$13,IF(H59=Parametros!$B$6,0,J59*Parametros!$B$13*Parametros!$C$5)))</f>
        <v/>
      </c>
      <c r="R59" s="18">
        <f>IF($E59="","",IF(H59=Parametros!$B$6,J59*Parametros!$B$13,IF(H59=Parametros!$B$5,0,J59*Parametros!$B$13*Parametros!$C$6)))</f>
        <v/>
      </c>
      <c r="S59" s="18">
        <f>IF($E59="","",J59*Parametros!$B$14*M59)</f>
        <v/>
      </c>
      <c r="T59" s="18">
        <f>IF($E59="","",J59*Parametros!$B$14*(1-M59))</f>
        <v/>
      </c>
      <c r="U59" s="18">
        <f>IF($E59="","",O59+Q59+S59)</f>
        <v/>
      </c>
      <c r="V59" s="18">
        <f>IF($E59="","",P59+R59+T59)</f>
        <v/>
      </c>
      <c r="W59" s="18">
        <f>IF($E59="","",ROUND(J59-N59-U59-V59,2))</f>
        <v/>
      </c>
    </row>
    <row r="60">
      <c r="A60" s="10" t="n"/>
      <c r="B60" s="10" t="n"/>
      <c r="C60" s="10" t="n"/>
      <c r="D60" s="28" t="n"/>
      <c r="E60" s="30" t="n"/>
      <c r="F60" s="30" t="n"/>
      <c r="G60" s="10" t="n"/>
      <c r="H60" s="10" t="n"/>
      <c r="I60" s="10" t="n"/>
      <c r="J60" s="18">
        <f>IF($E60="","",E60-F60)</f>
        <v/>
      </c>
      <c r="K60" s="31">
        <f>IF($A60="","",SUMIFS(Horas!$D:$D,Horas!$B:$B,$A60,Horas!$C:$C,Parametros!$B$5))</f>
        <v/>
      </c>
      <c r="L60" s="31">
        <f>IF($A60="","",SUMIFS(Horas!$D:$D,Horas!$B:$B,$A60,Horas!$C:$C,Parametros!$B$6))</f>
        <v/>
      </c>
      <c r="M60" s="22">
        <f>IF($E60="","",IF(N(K60)+N(L60)=0,Parametros!$C$5,N(K60)/(N(K60)+N(L60))))</f>
        <v/>
      </c>
      <c r="N60" s="18">
        <f>IF($E60="","",J60*Parametros!$B$11+IF(G60=Parametros!$B$16,J60*Parametros!$B$12,0))</f>
        <v/>
      </c>
      <c r="O60" s="18">
        <f>IF($E60="","",IF(G60=Parametros!$B$5,J60*Parametros!$B$12,0))</f>
        <v/>
      </c>
      <c r="P60" s="18">
        <f>IF($E60="","",IF(G60=Parametros!$B$6,J60*Parametros!$B$12,0))</f>
        <v/>
      </c>
      <c r="Q60" s="18">
        <f>IF($E60="","",IF(H60=Parametros!$B$5,J60*Parametros!$B$13,IF(H60=Parametros!$B$6,0,J60*Parametros!$B$13*Parametros!$C$5)))</f>
        <v/>
      </c>
      <c r="R60" s="18">
        <f>IF($E60="","",IF(H60=Parametros!$B$6,J60*Parametros!$B$13,IF(H60=Parametros!$B$5,0,J60*Parametros!$B$13*Parametros!$C$6)))</f>
        <v/>
      </c>
      <c r="S60" s="18">
        <f>IF($E60="","",J60*Parametros!$B$14*M60)</f>
        <v/>
      </c>
      <c r="T60" s="18">
        <f>IF($E60="","",J60*Parametros!$B$14*(1-M60))</f>
        <v/>
      </c>
      <c r="U60" s="18">
        <f>IF($E60="","",O60+Q60+S60)</f>
        <v/>
      </c>
      <c r="V60" s="18">
        <f>IF($E60="","",P60+R60+T60)</f>
        <v/>
      </c>
      <c r="W60" s="18">
        <f>IF($E60="","",ROUND(J60-N60-U60-V60,2))</f>
        <v/>
      </c>
    </row>
    <row r="61">
      <c r="A61" s="10" t="n"/>
      <c r="B61" s="10" t="n"/>
      <c r="C61" s="10" t="n"/>
      <c r="D61" s="28" t="n"/>
      <c r="E61" s="30" t="n"/>
      <c r="F61" s="30" t="n"/>
      <c r="G61" s="10" t="n"/>
      <c r="H61" s="10" t="n"/>
      <c r="I61" s="10" t="n"/>
      <c r="J61" s="18">
        <f>IF($E61="","",E61-F61)</f>
        <v/>
      </c>
      <c r="K61" s="31">
        <f>IF($A61="","",SUMIFS(Horas!$D:$D,Horas!$B:$B,$A61,Horas!$C:$C,Parametros!$B$5))</f>
        <v/>
      </c>
      <c r="L61" s="31">
        <f>IF($A61="","",SUMIFS(Horas!$D:$D,Horas!$B:$B,$A61,Horas!$C:$C,Parametros!$B$6))</f>
        <v/>
      </c>
      <c r="M61" s="22">
        <f>IF($E61="","",IF(N(K61)+N(L61)=0,Parametros!$C$5,N(K61)/(N(K61)+N(L61))))</f>
        <v/>
      </c>
      <c r="N61" s="18">
        <f>IF($E61="","",J61*Parametros!$B$11+IF(G61=Parametros!$B$16,J61*Parametros!$B$12,0))</f>
        <v/>
      </c>
      <c r="O61" s="18">
        <f>IF($E61="","",IF(G61=Parametros!$B$5,J61*Parametros!$B$12,0))</f>
        <v/>
      </c>
      <c r="P61" s="18">
        <f>IF($E61="","",IF(G61=Parametros!$B$6,J61*Parametros!$B$12,0))</f>
        <v/>
      </c>
      <c r="Q61" s="18">
        <f>IF($E61="","",IF(H61=Parametros!$B$5,J61*Parametros!$B$13,IF(H61=Parametros!$B$6,0,J61*Parametros!$B$13*Parametros!$C$5)))</f>
        <v/>
      </c>
      <c r="R61" s="18">
        <f>IF($E61="","",IF(H61=Parametros!$B$6,J61*Parametros!$B$13,IF(H61=Parametros!$B$5,0,J61*Parametros!$B$13*Parametros!$C$6)))</f>
        <v/>
      </c>
      <c r="S61" s="18">
        <f>IF($E61="","",J61*Parametros!$B$14*M61)</f>
        <v/>
      </c>
      <c r="T61" s="18">
        <f>IF($E61="","",J61*Parametros!$B$14*(1-M61))</f>
        <v/>
      </c>
      <c r="U61" s="18">
        <f>IF($E61="","",O61+Q61+S61)</f>
        <v/>
      </c>
      <c r="V61" s="18">
        <f>IF($E61="","",P61+R61+T61)</f>
        <v/>
      </c>
      <c r="W61" s="18">
        <f>IF($E61="","",ROUND(J61-N61-U61-V61,2))</f>
        <v/>
      </c>
    </row>
    <row r="62">
      <c r="A62" s="10" t="n"/>
      <c r="B62" s="10" t="n"/>
      <c r="C62" s="10" t="n"/>
      <c r="D62" s="28" t="n"/>
      <c r="E62" s="30" t="n"/>
      <c r="F62" s="30" t="n"/>
      <c r="G62" s="10" t="n"/>
      <c r="H62" s="10" t="n"/>
      <c r="I62" s="10" t="n"/>
      <c r="J62" s="18">
        <f>IF($E62="","",E62-F62)</f>
        <v/>
      </c>
      <c r="K62" s="31">
        <f>IF($A62="","",SUMIFS(Horas!$D:$D,Horas!$B:$B,$A62,Horas!$C:$C,Parametros!$B$5))</f>
        <v/>
      </c>
      <c r="L62" s="31">
        <f>IF($A62="","",SUMIFS(Horas!$D:$D,Horas!$B:$B,$A62,Horas!$C:$C,Parametros!$B$6))</f>
        <v/>
      </c>
      <c r="M62" s="22">
        <f>IF($E62="","",IF(N(K62)+N(L62)=0,Parametros!$C$5,N(K62)/(N(K62)+N(L62))))</f>
        <v/>
      </c>
      <c r="N62" s="18">
        <f>IF($E62="","",J62*Parametros!$B$11+IF(G62=Parametros!$B$16,J62*Parametros!$B$12,0))</f>
        <v/>
      </c>
      <c r="O62" s="18">
        <f>IF($E62="","",IF(G62=Parametros!$B$5,J62*Parametros!$B$12,0))</f>
        <v/>
      </c>
      <c r="P62" s="18">
        <f>IF($E62="","",IF(G62=Parametros!$B$6,J62*Parametros!$B$12,0))</f>
        <v/>
      </c>
      <c r="Q62" s="18">
        <f>IF($E62="","",IF(H62=Parametros!$B$5,J62*Parametros!$B$13,IF(H62=Parametros!$B$6,0,J62*Parametros!$B$13*Parametros!$C$5)))</f>
        <v/>
      </c>
      <c r="R62" s="18">
        <f>IF($E62="","",IF(H62=Parametros!$B$6,J62*Parametros!$B$13,IF(H62=Parametros!$B$5,0,J62*Parametros!$B$13*Parametros!$C$6)))</f>
        <v/>
      </c>
      <c r="S62" s="18">
        <f>IF($E62="","",J62*Parametros!$B$14*M62)</f>
        <v/>
      </c>
      <c r="T62" s="18">
        <f>IF($E62="","",J62*Parametros!$B$14*(1-M62))</f>
        <v/>
      </c>
      <c r="U62" s="18">
        <f>IF($E62="","",O62+Q62+S62)</f>
        <v/>
      </c>
      <c r="V62" s="18">
        <f>IF($E62="","",P62+R62+T62)</f>
        <v/>
      </c>
      <c r="W62" s="18">
        <f>IF($E62="","",ROUND(J62-N62-U62-V62,2))</f>
        <v/>
      </c>
    </row>
    <row r="63">
      <c r="A63" s="10" t="n"/>
      <c r="B63" s="10" t="n"/>
      <c r="C63" s="10" t="n"/>
      <c r="D63" s="28" t="n"/>
      <c r="E63" s="30" t="n"/>
      <c r="F63" s="30" t="n"/>
      <c r="G63" s="10" t="n"/>
      <c r="H63" s="10" t="n"/>
      <c r="I63" s="10" t="n"/>
      <c r="J63" s="18">
        <f>IF($E63="","",E63-F63)</f>
        <v/>
      </c>
      <c r="K63" s="31">
        <f>IF($A63="","",SUMIFS(Horas!$D:$D,Horas!$B:$B,$A63,Horas!$C:$C,Parametros!$B$5))</f>
        <v/>
      </c>
      <c r="L63" s="31">
        <f>IF($A63="","",SUMIFS(Horas!$D:$D,Horas!$B:$B,$A63,Horas!$C:$C,Parametros!$B$6))</f>
        <v/>
      </c>
      <c r="M63" s="22">
        <f>IF($E63="","",IF(N(K63)+N(L63)=0,Parametros!$C$5,N(K63)/(N(K63)+N(L63))))</f>
        <v/>
      </c>
      <c r="N63" s="18">
        <f>IF($E63="","",J63*Parametros!$B$11+IF(G63=Parametros!$B$16,J63*Parametros!$B$12,0))</f>
        <v/>
      </c>
      <c r="O63" s="18">
        <f>IF($E63="","",IF(G63=Parametros!$B$5,J63*Parametros!$B$12,0))</f>
        <v/>
      </c>
      <c r="P63" s="18">
        <f>IF($E63="","",IF(G63=Parametros!$B$6,J63*Parametros!$B$12,0))</f>
        <v/>
      </c>
      <c r="Q63" s="18">
        <f>IF($E63="","",IF(H63=Parametros!$B$5,J63*Parametros!$B$13,IF(H63=Parametros!$B$6,0,J63*Parametros!$B$13*Parametros!$C$5)))</f>
        <v/>
      </c>
      <c r="R63" s="18">
        <f>IF($E63="","",IF(H63=Parametros!$B$6,J63*Parametros!$B$13,IF(H63=Parametros!$B$5,0,J63*Parametros!$B$13*Parametros!$C$6)))</f>
        <v/>
      </c>
      <c r="S63" s="18">
        <f>IF($E63="","",J63*Parametros!$B$14*M63)</f>
        <v/>
      </c>
      <c r="T63" s="18">
        <f>IF($E63="","",J63*Parametros!$B$14*(1-M63))</f>
        <v/>
      </c>
      <c r="U63" s="18">
        <f>IF($E63="","",O63+Q63+S63)</f>
        <v/>
      </c>
      <c r="V63" s="18">
        <f>IF($E63="","",P63+R63+T63)</f>
        <v/>
      </c>
      <c r="W63" s="18">
        <f>IF($E63="","",ROUND(J63-N63-U63-V63,2))</f>
        <v/>
      </c>
    </row>
    <row r="64">
      <c r="A64" s="10" t="n"/>
      <c r="B64" s="10" t="n"/>
      <c r="C64" s="10" t="n"/>
      <c r="D64" s="28" t="n"/>
      <c r="E64" s="30" t="n"/>
      <c r="F64" s="30" t="n"/>
      <c r="G64" s="10" t="n"/>
      <c r="H64" s="10" t="n"/>
      <c r="I64" s="10" t="n"/>
      <c r="J64" s="18">
        <f>IF($E64="","",E64-F64)</f>
        <v/>
      </c>
      <c r="K64" s="31">
        <f>IF($A64="","",SUMIFS(Horas!$D:$D,Horas!$B:$B,$A64,Horas!$C:$C,Parametros!$B$5))</f>
        <v/>
      </c>
      <c r="L64" s="31">
        <f>IF($A64="","",SUMIFS(Horas!$D:$D,Horas!$B:$B,$A64,Horas!$C:$C,Parametros!$B$6))</f>
        <v/>
      </c>
      <c r="M64" s="22">
        <f>IF($E64="","",IF(N(K64)+N(L64)=0,Parametros!$C$5,N(K64)/(N(K64)+N(L64))))</f>
        <v/>
      </c>
      <c r="N64" s="18">
        <f>IF($E64="","",J64*Parametros!$B$11+IF(G64=Parametros!$B$16,J64*Parametros!$B$12,0))</f>
        <v/>
      </c>
      <c r="O64" s="18">
        <f>IF($E64="","",IF(G64=Parametros!$B$5,J64*Parametros!$B$12,0))</f>
        <v/>
      </c>
      <c r="P64" s="18">
        <f>IF($E64="","",IF(G64=Parametros!$B$6,J64*Parametros!$B$12,0))</f>
        <v/>
      </c>
      <c r="Q64" s="18">
        <f>IF($E64="","",IF(H64=Parametros!$B$5,J64*Parametros!$B$13,IF(H64=Parametros!$B$6,0,J64*Parametros!$B$13*Parametros!$C$5)))</f>
        <v/>
      </c>
      <c r="R64" s="18">
        <f>IF($E64="","",IF(H64=Parametros!$B$6,J64*Parametros!$B$13,IF(H64=Parametros!$B$5,0,J64*Parametros!$B$13*Parametros!$C$6)))</f>
        <v/>
      </c>
      <c r="S64" s="18">
        <f>IF($E64="","",J64*Parametros!$B$14*M64)</f>
        <v/>
      </c>
      <c r="T64" s="18">
        <f>IF($E64="","",J64*Parametros!$B$14*(1-M64))</f>
        <v/>
      </c>
      <c r="U64" s="18">
        <f>IF($E64="","",O64+Q64+S64)</f>
        <v/>
      </c>
      <c r="V64" s="18">
        <f>IF($E64="","",P64+R64+T64)</f>
        <v/>
      </c>
      <c r="W64" s="18">
        <f>IF($E64="","",ROUND(J64-N64-U64-V64,2))</f>
        <v/>
      </c>
    </row>
    <row r="65">
      <c r="A65" s="10" t="n"/>
      <c r="B65" s="10" t="n"/>
      <c r="C65" s="10" t="n"/>
      <c r="D65" s="28" t="n"/>
      <c r="E65" s="30" t="n"/>
      <c r="F65" s="30" t="n"/>
      <c r="G65" s="10" t="n"/>
      <c r="H65" s="10" t="n"/>
      <c r="I65" s="10" t="n"/>
      <c r="J65" s="18">
        <f>IF($E65="","",E65-F65)</f>
        <v/>
      </c>
      <c r="K65" s="31">
        <f>IF($A65="","",SUMIFS(Horas!$D:$D,Horas!$B:$B,$A65,Horas!$C:$C,Parametros!$B$5))</f>
        <v/>
      </c>
      <c r="L65" s="31">
        <f>IF($A65="","",SUMIFS(Horas!$D:$D,Horas!$B:$B,$A65,Horas!$C:$C,Parametros!$B$6))</f>
        <v/>
      </c>
      <c r="M65" s="22">
        <f>IF($E65="","",IF(N(K65)+N(L65)=0,Parametros!$C$5,N(K65)/(N(K65)+N(L65))))</f>
        <v/>
      </c>
      <c r="N65" s="18">
        <f>IF($E65="","",J65*Parametros!$B$11+IF(G65=Parametros!$B$16,J65*Parametros!$B$12,0))</f>
        <v/>
      </c>
      <c r="O65" s="18">
        <f>IF($E65="","",IF(G65=Parametros!$B$5,J65*Parametros!$B$12,0))</f>
        <v/>
      </c>
      <c r="P65" s="18">
        <f>IF($E65="","",IF(G65=Parametros!$B$6,J65*Parametros!$B$12,0))</f>
        <v/>
      </c>
      <c r="Q65" s="18">
        <f>IF($E65="","",IF(H65=Parametros!$B$5,J65*Parametros!$B$13,IF(H65=Parametros!$B$6,0,J65*Parametros!$B$13*Parametros!$C$5)))</f>
        <v/>
      </c>
      <c r="R65" s="18">
        <f>IF($E65="","",IF(H65=Parametros!$B$6,J65*Parametros!$B$13,IF(H65=Parametros!$B$5,0,J65*Parametros!$B$13*Parametros!$C$6)))</f>
        <v/>
      </c>
      <c r="S65" s="18">
        <f>IF($E65="","",J65*Parametros!$B$14*M65)</f>
        <v/>
      </c>
      <c r="T65" s="18">
        <f>IF($E65="","",J65*Parametros!$B$14*(1-M65))</f>
        <v/>
      </c>
      <c r="U65" s="18">
        <f>IF($E65="","",O65+Q65+S65)</f>
        <v/>
      </c>
      <c r="V65" s="18">
        <f>IF($E65="","",P65+R65+T65)</f>
        <v/>
      </c>
      <c r="W65" s="18">
        <f>IF($E65="","",ROUND(J65-N65-U65-V65,2))</f>
        <v/>
      </c>
    </row>
    <row r="66">
      <c r="A66" s="10" t="n"/>
      <c r="B66" s="10" t="n"/>
      <c r="C66" s="10" t="n"/>
      <c r="D66" s="28" t="n"/>
      <c r="E66" s="30" t="n"/>
      <c r="F66" s="30" t="n"/>
      <c r="G66" s="10" t="n"/>
      <c r="H66" s="10" t="n"/>
      <c r="I66" s="10" t="n"/>
      <c r="J66" s="18">
        <f>IF($E66="","",E66-F66)</f>
        <v/>
      </c>
      <c r="K66" s="31">
        <f>IF($A66="","",SUMIFS(Horas!$D:$D,Horas!$B:$B,$A66,Horas!$C:$C,Parametros!$B$5))</f>
        <v/>
      </c>
      <c r="L66" s="31">
        <f>IF($A66="","",SUMIFS(Horas!$D:$D,Horas!$B:$B,$A66,Horas!$C:$C,Parametros!$B$6))</f>
        <v/>
      </c>
      <c r="M66" s="22">
        <f>IF($E66="","",IF(N(K66)+N(L66)=0,Parametros!$C$5,N(K66)/(N(K66)+N(L66))))</f>
        <v/>
      </c>
      <c r="N66" s="18">
        <f>IF($E66="","",J66*Parametros!$B$11+IF(G66=Parametros!$B$16,J66*Parametros!$B$12,0))</f>
        <v/>
      </c>
      <c r="O66" s="18">
        <f>IF($E66="","",IF(G66=Parametros!$B$5,J66*Parametros!$B$12,0))</f>
        <v/>
      </c>
      <c r="P66" s="18">
        <f>IF($E66="","",IF(G66=Parametros!$B$6,J66*Parametros!$B$12,0))</f>
        <v/>
      </c>
      <c r="Q66" s="18">
        <f>IF($E66="","",IF(H66=Parametros!$B$5,J66*Parametros!$B$13,IF(H66=Parametros!$B$6,0,J66*Parametros!$B$13*Parametros!$C$5)))</f>
        <v/>
      </c>
      <c r="R66" s="18">
        <f>IF($E66="","",IF(H66=Parametros!$B$6,J66*Parametros!$B$13,IF(H66=Parametros!$B$5,0,J66*Parametros!$B$13*Parametros!$C$6)))</f>
        <v/>
      </c>
      <c r="S66" s="18">
        <f>IF($E66="","",J66*Parametros!$B$14*M66)</f>
        <v/>
      </c>
      <c r="T66" s="18">
        <f>IF($E66="","",J66*Parametros!$B$14*(1-M66))</f>
        <v/>
      </c>
      <c r="U66" s="18">
        <f>IF($E66="","",O66+Q66+S66)</f>
        <v/>
      </c>
      <c r="V66" s="18">
        <f>IF($E66="","",P66+R66+T66)</f>
        <v/>
      </c>
      <c r="W66" s="18">
        <f>IF($E66="","",ROUND(J66-N66-U66-V66,2))</f>
        <v/>
      </c>
    </row>
    <row r="67">
      <c r="A67" s="10" t="n"/>
      <c r="B67" s="10" t="n"/>
      <c r="C67" s="10" t="n"/>
      <c r="D67" s="28" t="n"/>
      <c r="E67" s="30" t="n"/>
      <c r="F67" s="30" t="n"/>
      <c r="G67" s="10" t="n"/>
      <c r="H67" s="10" t="n"/>
      <c r="I67" s="10" t="n"/>
      <c r="J67" s="18">
        <f>IF($E67="","",E67-F67)</f>
        <v/>
      </c>
      <c r="K67" s="31">
        <f>IF($A67="","",SUMIFS(Horas!$D:$D,Horas!$B:$B,$A67,Horas!$C:$C,Parametros!$B$5))</f>
        <v/>
      </c>
      <c r="L67" s="31">
        <f>IF($A67="","",SUMIFS(Horas!$D:$D,Horas!$B:$B,$A67,Horas!$C:$C,Parametros!$B$6))</f>
        <v/>
      </c>
      <c r="M67" s="22">
        <f>IF($E67="","",IF(N(K67)+N(L67)=0,Parametros!$C$5,N(K67)/(N(K67)+N(L67))))</f>
        <v/>
      </c>
      <c r="N67" s="18">
        <f>IF($E67="","",J67*Parametros!$B$11+IF(G67=Parametros!$B$16,J67*Parametros!$B$12,0))</f>
        <v/>
      </c>
      <c r="O67" s="18">
        <f>IF($E67="","",IF(G67=Parametros!$B$5,J67*Parametros!$B$12,0))</f>
        <v/>
      </c>
      <c r="P67" s="18">
        <f>IF($E67="","",IF(G67=Parametros!$B$6,J67*Parametros!$B$12,0))</f>
        <v/>
      </c>
      <c r="Q67" s="18">
        <f>IF($E67="","",IF(H67=Parametros!$B$5,J67*Parametros!$B$13,IF(H67=Parametros!$B$6,0,J67*Parametros!$B$13*Parametros!$C$5)))</f>
        <v/>
      </c>
      <c r="R67" s="18">
        <f>IF($E67="","",IF(H67=Parametros!$B$6,J67*Parametros!$B$13,IF(H67=Parametros!$B$5,0,J67*Parametros!$B$13*Parametros!$C$6)))</f>
        <v/>
      </c>
      <c r="S67" s="18">
        <f>IF($E67="","",J67*Parametros!$B$14*M67)</f>
        <v/>
      </c>
      <c r="T67" s="18">
        <f>IF($E67="","",J67*Parametros!$B$14*(1-M67))</f>
        <v/>
      </c>
      <c r="U67" s="18">
        <f>IF($E67="","",O67+Q67+S67)</f>
        <v/>
      </c>
      <c r="V67" s="18">
        <f>IF($E67="","",P67+R67+T67)</f>
        <v/>
      </c>
      <c r="W67" s="18">
        <f>IF($E67="","",ROUND(J67-N67-U67-V67,2))</f>
        <v/>
      </c>
    </row>
    <row r="68">
      <c r="A68" s="10" t="n"/>
      <c r="B68" s="10" t="n"/>
      <c r="C68" s="10" t="n"/>
      <c r="D68" s="28" t="n"/>
      <c r="E68" s="30" t="n"/>
      <c r="F68" s="30" t="n"/>
      <c r="G68" s="10" t="n"/>
      <c r="H68" s="10" t="n"/>
      <c r="I68" s="10" t="n"/>
      <c r="J68" s="18">
        <f>IF($E68="","",E68-F68)</f>
        <v/>
      </c>
      <c r="K68" s="31">
        <f>IF($A68="","",SUMIFS(Horas!$D:$D,Horas!$B:$B,$A68,Horas!$C:$C,Parametros!$B$5))</f>
        <v/>
      </c>
      <c r="L68" s="31">
        <f>IF($A68="","",SUMIFS(Horas!$D:$D,Horas!$B:$B,$A68,Horas!$C:$C,Parametros!$B$6))</f>
        <v/>
      </c>
      <c r="M68" s="22">
        <f>IF($E68="","",IF(N(K68)+N(L68)=0,Parametros!$C$5,N(K68)/(N(K68)+N(L68))))</f>
        <v/>
      </c>
      <c r="N68" s="18">
        <f>IF($E68="","",J68*Parametros!$B$11+IF(G68=Parametros!$B$16,J68*Parametros!$B$12,0))</f>
        <v/>
      </c>
      <c r="O68" s="18">
        <f>IF($E68="","",IF(G68=Parametros!$B$5,J68*Parametros!$B$12,0))</f>
        <v/>
      </c>
      <c r="P68" s="18">
        <f>IF($E68="","",IF(G68=Parametros!$B$6,J68*Parametros!$B$12,0))</f>
        <v/>
      </c>
      <c r="Q68" s="18">
        <f>IF($E68="","",IF(H68=Parametros!$B$5,J68*Parametros!$B$13,IF(H68=Parametros!$B$6,0,J68*Parametros!$B$13*Parametros!$C$5)))</f>
        <v/>
      </c>
      <c r="R68" s="18">
        <f>IF($E68="","",IF(H68=Parametros!$B$6,J68*Parametros!$B$13,IF(H68=Parametros!$B$5,0,J68*Parametros!$B$13*Parametros!$C$6)))</f>
        <v/>
      </c>
      <c r="S68" s="18">
        <f>IF($E68="","",J68*Parametros!$B$14*M68)</f>
        <v/>
      </c>
      <c r="T68" s="18">
        <f>IF($E68="","",J68*Parametros!$B$14*(1-M68))</f>
        <v/>
      </c>
      <c r="U68" s="18">
        <f>IF($E68="","",O68+Q68+S68)</f>
        <v/>
      </c>
      <c r="V68" s="18">
        <f>IF($E68="","",P68+R68+T68)</f>
        <v/>
      </c>
      <c r="W68" s="18">
        <f>IF($E68="","",ROUND(J68-N68-U68-V68,2))</f>
        <v/>
      </c>
    </row>
    <row r="69">
      <c r="A69" s="10" t="n"/>
      <c r="B69" s="10" t="n"/>
      <c r="C69" s="10" t="n"/>
      <c r="D69" s="28" t="n"/>
      <c r="E69" s="30" t="n"/>
      <c r="F69" s="30" t="n"/>
      <c r="G69" s="10" t="n"/>
      <c r="H69" s="10" t="n"/>
      <c r="I69" s="10" t="n"/>
      <c r="J69" s="18">
        <f>IF($E69="","",E69-F69)</f>
        <v/>
      </c>
      <c r="K69" s="31">
        <f>IF($A69="","",SUMIFS(Horas!$D:$D,Horas!$B:$B,$A69,Horas!$C:$C,Parametros!$B$5))</f>
        <v/>
      </c>
      <c r="L69" s="31">
        <f>IF($A69="","",SUMIFS(Horas!$D:$D,Horas!$B:$B,$A69,Horas!$C:$C,Parametros!$B$6))</f>
        <v/>
      </c>
      <c r="M69" s="22">
        <f>IF($E69="","",IF(N(K69)+N(L69)=0,Parametros!$C$5,N(K69)/(N(K69)+N(L69))))</f>
        <v/>
      </c>
      <c r="N69" s="18">
        <f>IF($E69="","",J69*Parametros!$B$11+IF(G69=Parametros!$B$16,J69*Parametros!$B$12,0))</f>
        <v/>
      </c>
      <c r="O69" s="18">
        <f>IF($E69="","",IF(G69=Parametros!$B$5,J69*Parametros!$B$12,0))</f>
        <v/>
      </c>
      <c r="P69" s="18">
        <f>IF($E69="","",IF(G69=Parametros!$B$6,J69*Parametros!$B$12,0))</f>
        <v/>
      </c>
      <c r="Q69" s="18">
        <f>IF($E69="","",IF(H69=Parametros!$B$5,J69*Parametros!$B$13,IF(H69=Parametros!$B$6,0,J69*Parametros!$B$13*Parametros!$C$5)))</f>
        <v/>
      </c>
      <c r="R69" s="18">
        <f>IF($E69="","",IF(H69=Parametros!$B$6,J69*Parametros!$B$13,IF(H69=Parametros!$B$5,0,J69*Parametros!$B$13*Parametros!$C$6)))</f>
        <v/>
      </c>
      <c r="S69" s="18">
        <f>IF($E69="","",J69*Parametros!$B$14*M69)</f>
        <v/>
      </c>
      <c r="T69" s="18">
        <f>IF($E69="","",J69*Parametros!$B$14*(1-M69))</f>
        <v/>
      </c>
      <c r="U69" s="18">
        <f>IF($E69="","",O69+Q69+S69)</f>
        <v/>
      </c>
      <c r="V69" s="18">
        <f>IF($E69="","",P69+R69+T69)</f>
        <v/>
      </c>
      <c r="W69" s="18">
        <f>IF($E69="","",ROUND(J69-N69-U69-V69,2))</f>
        <v/>
      </c>
    </row>
    <row r="70">
      <c r="A70" s="10" t="n"/>
      <c r="B70" s="10" t="n"/>
      <c r="C70" s="10" t="n"/>
      <c r="D70" s="28" t="n"/>
      <c r="E70" s="30" t="n"/>
      <c r="F70" s="30" t="n"/>
      <c r="G70" s="10" t="n"/>
      <c r="H70" s="10" t="n"/>
      <c r="I70" s="10" t="n"/>
      <c r="J70" s="18">
        <f>IF($E70="","",E70-F70)</f>
        <v/>
      </c>
      <c r="K70" s="31">
        <f>IF($A70="","",SUMIFS(Horas!$D:$D,Horas!$B:$B,$A70,Horas!$C:$C,Parametros!$B$5))</f>
        <v/>
      </c>
      <c r="L70" s="31">
        <f>IF($A70="","",SUMIFS(Horas!$D:$D,Horas!$B:$B,$A70,Horas!$C:$C,Parametros!$B$6))</f>
        <v/>
      </c>
      <c r="M70" s="22">
        <f>IF($E70="","",IF(N(K70)+N(L70)=0,Parametros!$C$5,N(K70)/(N(K70)+N(L70))))</f>
        <v/>
      </c>
      <c r="N70" s="18">
        <f>IF($E70="","",J70*Parametros!$B$11+IF(G70=Parametros!$B$16,J70*Parametros!$B$12,0))</f>
        <v/>
      </c>
      <c r="O70" s="18">
        <f>IF($E70="","",IF(G70=Parametros!$B$5,J70*Parametros!$B$12,0))</f>
        <v/>
      </c>
      <c r="P70" s="18">
        <f>IF($E70="","",IF(G70=Parametros!$B$6,J70*Parametros!$B$12,0))</f>
        <v/>
      </c>
      <c r="Q70" s="18">
        <f>IF($E70="","",IF(H70=Parametros!$B$5,J70*Parametros!$B$13,IF(H70=Parametros!$B$6,0,J70*Parametros!$B$13*Parametros!$C$5)))</f>
        <v/>
      </c>
      <c r="R70" s="18">
        <f>IF($E70="","",IF(H70=Parametros!$B$6,J70*Parametros!$B$13,IF(H70=Parametros!$B$5,0,J70*Parametros!$B$13*Parametros!$C$6)))</f>
        <v/>
      </c>
      <c r="S70" s="18">
        <f>IF($E70="","",J70*Parametros!$B$14*M70)</f>
        <v/>
      </c>
      <c r="T70" s="18">
        <f>IF($E70="","",J70*Parametros!$B$14*(1-M70))</f>
        <v/>
      </c>
      <c r="U70" s="18">
        <f>IF($E70="","",O70+Q70+S70)</f>
        <v/>
      </c>
      <c r="V70" s="18">
        <f>IF($E70="","",P70+R70+T70)</f>
        <v/>
      </c>
      <c r="W70" s="18">
        <f>IF($E70="","",ROUND(J70-N70-U70-V70,2))</f>
        <v/>
      </c>
    </row>
    <row r="71">
      <c r="A71" s="10" t="n"/>
      <c r="B71" s="10" t="n"/>
      <c r="C71" s="10" t="n"/>
      <c r="D71" s="28" t="n"/>
      <c r="E71" s="30" t="n"/>
      <c r="F71" s="30" t="n"/>
      <c r="G71" s="10" t="n"/>
      <c r="H71" s="10" t="n"/>
      <c r="I71" s="10" t="n"/>
      <c r="J71" s="18">
        <f>IF($E71="","",E71-F71)</f>
        <v/>
      </c>
      <c r="K71" s="31">
        <f>IF($A71="","",SUMIFS(Horas!$D:$D,Horas!$B:$B,$A71,Horas!$C:$C,Parametros!$B$5))</f>
        <v/>
      </c>
      <c r="L71" s="31">
        <f>IF($A71="","",SUMIFS(Horas!$D:$D,Horas!$B:$B,$A71,Horas!$C:$C,Parametros!$B$6))</f>
        <v/>
      </c>
      <c r="M71" s="22">
        <f>IF($E71="","",IF(N(K71)+N(L71)=0,Parametros!$C$5,N(K71)/(N(K71)+N(L71))))</f>
        <v/>
      </c>
      <c r="N71" s="18">
        <f>IF($E71="","",J71*Parametros!$B$11+IF(G71=Parametros!$B$16,J71*Parametros!$B$12,0))</f>
        <v/>
      </c>
      <c r="O71" s="18">
        <f>IF($E71="","",IF(G71=Parametros!$B$5,J71*Parametros!$B$12,0))</f>
        <v/>
      </c>
      <c r="P71" s="18">
        <f>IF($E71="","",IF(G71=Parametros!$B$6,J71*Parametros!$B$12,0))</f>
        <v/>
      </c>
      <c r="Q71" s="18">
        <f>IF($E71="","",IF(H71=Parametros!$B$5,J71*Parametros!$B$13,IF(H71=Parametros!$B$6,0,J71*Parametros!$B$13*Parametros!$C$5)))</f>
        <v/>
      </c>
      <c r="R71" s="18">
        <f>IF($E71="","",IF(H71=Parametros!$B$6,J71*Parametros!$B$13,IF(H71=Parametros!$B$5,0,J71*Parametros!$B$13*Parametros!$C$6)))</f>
        <v/>
      </c>
      <c r="S71" s="18">
        <f>IF($E71="","",J71*Parametros!$B$14*M71)</f>
        <v/>
      </c>
      <c r="T71" s="18">
        <f>IF($E71="","",J71*Parametros!$B$14*(1-M71))</f>
        <v/>
      </c>
      <c r="U71" s="18">
        <f>IF($E71="","",O71+Q71+S71)</f>
        <v/>
      </c>
      <c r="V71" s="18">
        <f>IF($E71="","",P71+R71+T71)</f>
        <v/>
      </c>
      <c r="W71" s="18">
        <f>IF($E71="","",ROUND(J71-N71-U71-V71,2))</f>
        <v/>
      </c>
    </row>
    <row r="72">
      <c r="A72" s="10" t="n"/>
      <c r="B72" s="10" t="n"/>
      <c r="C72" s="10" t="n"/>
      <c r="D72" s="28" t="n"/>
      <c r="E72" s="30" t="n"/>
      <c r="F72" s="30" t="n"/>
      <c r="G72" s="10" t="n"/>
      <c r="H72" s="10" t="n"/>
      <c r="I72" s="10" t="n"/>
      <c r="J72" s="18">
        <f>IF($E72="","",E72-F72)</f>
        <v/>
      </c>
      <c r="K72" s="31">
        <f>IF($A72="","",SUMIFS(Horas!$D:$D,Horas!$B:$B,$A72,Horas!$C:$C,Parametros!$B$5))</f>
        <v/>
      </c>
      <c r="L72" s="31">
        <f>IF($A72="","",SUMIFS(Horas!$D:$D,Horas!$B:$B,$A72,Horas!$C:$C,Parametros!$B$6))</f>
        <v/>
      </c>
      <c r="M72" s="22">
        <f>IF($E72="","",IF(N(K72)+N(L72)=0,Parametros!$C$5,N(K72)/(N(K72)+N(L72))))</f>
        <v/>
      </c>
      <c r="N72" s="18">
        <f>IF($E72="","",J72*Parametros!$B$11+IF(G72=Parametros!$B$16,J72*Parametros!$B$12,0))</f>
        <v/>
      </c>
      <c r="O72" s="18">
        <f>IF($E72="","",IF(G72=Parametros!$B$5,J72*Parametros!$B$12,0))</f>
        <v/>
      </c>
      <c r="P72" s="18">
        <f>IF($E72="","",IF(G72=Parametros!$B$6,J72*Parametros!$B$12,0))</f>
        <v/>
      </c>
      <c r="Q72" s="18">
        <f>IF($E72="","",IF(H72=Parametros!$B$5,J72*Parametros!$B$13,IF(H72=Parametros!$B$6,0,J72*Parametros!$B$13*Parametros!$C$5)))</f>
        <v/>
      </c>
      <c r="R72" s="18">
        <f>IF($E72="","",IF(H72=Parametros!$B$6,J72*Parametros!$B$13,IF(H72=Parametros!$B$5,0,J72*Parametros!$B$13*Parametros!$C$6)))</f>
        <v/>
      </c>
      <c r="S72" s="18">
        <f>IF($E72="","",J72*Parametros!$B$14*M72)</f>
        <v/>
      </c>
      <c r="T72" s="18">
        <f>IF($E72="","",J72*Parametros!$B$14*(1-M72))</f>
        <v/>
      </c>
      <c r="U72" s="18">
        <f>IF($E72="","",O72+Q72+S72)</f>
        <v/>
      </c>
      <c r="V72" s="18">
        <f>IF($E72="","",P72+R72+T72)</f>
        <v/>
      </c>
      <c r="W72" s="18">
        <f>IF($E72="","",ROUND(J72-N72-U72-V72,2))</f>
        <v/>
      </c>
    </row>
    <row r="73">
      <c r="A73" s="10" t="n"/>
      <c r="B73" s="10" t="n"/>
      <c r="C73" s="10" t="n"/>
      <c r="D73" s="28" t="n"/>
      <c r="E73" s="30" t="n"/>
      <c r="F73" s="30" t="n"/>
      <c r="G73" s="10" t="n"/>
      <c r="H73" s="10" t="n"/>
      <c r="I73" s="10" t="n"/>
      <c r="J73" s="18">
        <f>IF($E73="","",E73-F73)</f>
        <v/>
      </c>
      <c r="K73" s="31">
        <f>IF($A73="","",SUMIFS(Horas!$D:$D,Horas!$B:$B,$A73,Horas!$C:$C,Parametros!$B$5))</f>
        <v/>
      </c>
      <c r="L73" s="31">
        <f>IF($A73="","",SUMIFS(Horas!$D:$D,Horas!$B:$B,$A73,Horas!$C:$C,Parametros!$B$6))</f>
        <v/>
      </c>
      <c r="M73" s="22">
        <f>IF($E73="","",IF(N(K73)+N(L73)=0,Parametros!$C$5,N(K73)/(N(K73)+N(L73))))</f>
        <v/>
      </c>
      <c r="N73" s="18">
        <f>IF($E73="","",J73*Parametros!$B$11+IF(G73=Parametros!$B$16,J73*Parametros!$B$12,0))</f>
        <v/>
      </c>
      <c r="O73" s="18">
        <f>IF($E73="","",IF(G73=Parametros!$B$5,J73*Parametros!$B$12,0))</f>
        <v/>
      </c>
      <c r="P73" s="18">
        <f>IF($E73="","",IF(G73=Parametros!$B$6,J73*Parametros!$B$12,0))</f>
        <v/>
      </c>
      <c r="Q73" s="18">
        <f>IF($E73="","",IF(H73=Parametros!$B$5,J73*Parametros!$B$13,IF(H73=Parametros!$B$6,0,J73*Parametros!$B$13*Parametros!$C$5)))</f>
        <v/>
      </c>
      <c r="R73" s="18">
        <f>IF($E73="","",IF(H73=Parametros!$B$6,J73*Parametros!$B$13,IF(H73=Parametros!$B$5,0,J73*Parametros!$B$13*Parametros!$C$6)))</f>
        <v/>
      </c>
      <c r="S73" s="18">
        <f>IF($E73="","",J73*Parametros!$B$14*M73)</f>
        <v/>
      </c>
      <c r="T73" s="18">
        <f>IF($E73="","",J73*Parametros!$B$14*(1-M73))</f>
        <v/>
      </c>
      <c r="U73" s="18">
        <f>IF($E73="","",O73+Q73+S73)</f>
        <v/>
      </c>
      <c r="V73" s="18">
        <f>IF($E73="","",P73+R73+T73)</f>
        <v/>
      </c>
      <c r="W73" s="18">
        <f>IF($E73="","",ROUND(J73-N73-U73-V73,2))</f>
        <v/>
      </c>
    </row>
    <row r="74">
      <c r="A74" s="10" t="n"/>
      <c r="B74" s="10" t="n"/>
      <c r="C74" s="10" t="n"/>
      <c r="D74" s="28" t="n"/>
      <c r="E74" s="30" t="n"/>
      <c r="F74" s="30" t="n"/>
      <c r="G74" s="10" t="n"/>
      <c r="H74" s="10" t="n"/>
      <c r="I74" s="10" t="n"/>
      <c r="J74" s="18">
        <f>IF($E74="","",E74-F74)</f>
        <v/>
      </c>
      <c r="K74" s="31">
        <f>IF($A74="","",SUMIFS(Horas!$D:$D,Horas!$B:$B,$A74,Horas!$C:$C,Parametros!$B$5))</f>
        <v/>
      </c>
      <c r="L74" s="31">
        <f>IF($A74="","",SUMIFS(Horas!$D:$D,Horas!$B:$B,$A74,Horas!$C:$C,Parametros!$B$6))</f>
        <v/>
      </c>
      <c r="M74" s="22">
        <f>IF($E74="","",IF(N(K74)+N(L74)=0,Parametros!$C$5,N(K74)/(N(K74)+N(L74))))</f>
        <v/>
      </c>
      <c r="N74" s="18">
        <f>IF($E74="","",J74*Parametros!$B$11+IF(G74=Parametros!$B$16,J74*Parametros!$B$12,0))</f>
        <v/>
      </c>
      <c r="O74" s="18">
        <f>IF($E74="","",IF(G74=Parametros!$B$5,J74*Parametros!$B$12,0))</f>
        <v/>
      </c>
      <c r="P74" s="18">
        <f>IF($E74="","",IF(G74=Parametros!$B$6,J74*Parametros!$B$12,0))</f>
        <v/>
      </c>
      <c r="Q74" s="18">
        <f>IF($E74="","",IF(H74=Parametros!$B$5,J74*Parametros!$B$13,IF(H74=Parametros!$B$6,0,J74*Parametros!$B$13*Parametros!$C$5)))</f>
        <v/>
      </c>
      <c r="R74" s="18">
        <f>IF($E74="","",IF(H74=Parametros!$B$6,J74*Parametros!$B$13,IF(H74=Parametros!$B$5,0,J74*Parametros!$B$13*Parametros!$C$6)))</f>
        <v/>
      </c>
      <c r="S74" s="18">
        <f>IF($E74="","",J74*Parametros!$B$14*M74)</f>
        <v/>
      </c>
      <c r="T74" s="18">
        <f>IF($E74="","",J74*Parametros!$B$14*(1-M74))</f>
        <v/>
      </c>
      <c r="U74" s="18">
        <f>IF($E74="","",O74+Q74+S74)</f>
        <v/>
      </c>
      <c r="V74" s="18">
        <f>IF($E74="","",P74+R74+T74)</f>
        <v/>
      </c>
      <c r="W74" s="18">
        <f>IF($E74="","",ROUND(J74-N74-U74-V74,2))</f>
        <v/>
      </c>
    </row>
    <row r="75">
      <c r="A75" s="10" t="n"/>
      <c r="B75" s="10" t="n"/>
      <c r="C75" s="10" t="n"/>
      <c r="D75" s="28" t="n"/>
      <c r="E75" s="30" t="n"/>
      <c r="F75" s="30" t="n"/>
      <c r="G75" s="10" t="n"/>
      <c r="H75" s="10" t="n"/>
      <c r="I75" s="10" t="n"/>
      <c r="J75" s="18">
        <f>IF($E75="","",E75-F75)</f>
        <v/>
      </c>
      <c r="K75" s="31">
        <f>IF($A75="","",SUMIFS(Horas!$D:$D,Horas!$B:$B,$A75,Horas!$C:$C,Parametros!$B$5))</f>
        <v/>
      </c>
      <c r="L75" s="31">
        <f>IF($A75="","",SUMIFS(Horas!$D:$D,Horas!$B:$B,$A75,Horas!$C:$C,Parametros!$B$6))</f>
        <v/>
      </c>
      <c r="M75" s="22">
        <f>IF($E75="","",IF(N(K75)+N(L75)=0,Parametros!$C$5,N(K75)/(N(K75)+N(L75))))</f>
        <v/>
      </c>
      <c r="N75" s="18">
        <f>IF($E75="","",J75*Parametros!$B$11+IF(G75=Parametros!$B$16,J75*Parametros!$B$12,0))</f>
        <v/>
      </c>
      <c r="O75" s="18">
        <f>IF($E75="","",IF(G75=Parametros!$B$5,J75*Parametros!$B$12,0))</f>
        <v/>
      </c>
      <c r="P75" s="18">
        <f>IF($E75="","",IF(G75=Parametros!$B$6,J75*Parametros!$B$12,0))</f>
        <v/>
      </c>
      <c r="Q75" s="18">
        <f>IF($E75="","",IF(H75=Parametros!$B$5,J75*Parametros!$B$13,IF(H75=Parametros!$B$6,0,J75*Parametros!$B$13*Parametros!$C$5)))</f>
        <v/>
      </c>
      <c r="R75" s="18">
        <f>IF($E75="","",IF(H75=Parametros!$B$6,J75*Parametros!$B$13,IF(H75=Parametros!$B$5,0,J75*Parametros!$B$13*Parametros!$C$6)))</f>
        <v/>
      </c>
      <c r="S75" s="18">
        <f>IF($E75="","",J75*Parametros!$B$14*M75)</f>
        <v/>
      </c>
      <c r="T75" s="18">
        <f>IF($E75="","",J75*Parametros!$B$14*(1-M75))</f>
        <v/>
      </c>
      <c r="U75" s="18">
        <f>IF($E75="","",O75+Q75+S75)</f>
        <v/>
      </c>
      <c r="V75" s="18">
        <f>IF($E75="","",P75+R75+T75)</f>
        <v/>
      </c>
      <c r="W75" s="18">
        <f>IF($E75="","",ROUND(J75-N75-U75-V75,2))</f>
        <v/>
      </c>
    </row>
    <row r="76">
      <c r="A76" s="10" t="n"/>
      <c r="B76" s="10" t="n"/>
      <c r="C76" s="10" t="n"/>
      <c r="D76" s="28" t="n"/>
      <c r="E76" s="30" t="n"/>
      <c r="F76" s="30" t="n"/>
      <c r="G76" s="10" t="n"/>
      <c r="H76" s="10" t="n"/>
      <c r="I76" s="10" t="n"/>
      <c r="J76" s="18">
        <f>IF($E76="","",E76-F76)</f>
        <v/>
      </c>
      <c r="K76" s="31">
        <f>IF($A76="","",SUMIFS(Horas!$D:$D,Horas!$B:$B,$A76,Horas!$C:$C,Parametros!$B$5))</f>
        <v/>
      </c>
      <c r="L76" s="31">
        <f>IF($A76="","",SUMIFS(Horas!$D:$D,Horas!$B:$B,$A76,Horas!$C:$C,Parametros!$B$6))</f>
        <v/>
      </c>
      <c r="M76" s="22">
        <f>IF($E76="","",IF(N(K76)+N(L76)=0,Parametros!$C$5,N(K76)/(N(K76)+N(L76))))</f>
        <v/>
      </c>
      <c r="N76" s="18">
        <f>IF($E76="","",J76*Parametros!$B$11+IF(G76=Parametros!$B$16,J76*Parametros!$B$12,0))</f>
        <v/>
      </c>
      <c r="O76" s="18">
        <f>IF($E76="","",IF(G76=Parametros!$B$5,J76*Parametros!$B$12,0))</f>
        <v/>
      </c>
      <c r="P76" s="18">
        <f>IF($E76="","",IF(G76=Parametros!$B$6,J76*Parametros!$B$12,0))</f>
        <v/>
      </c>
      <c r="Q76" s="18">
        <f>IF($E76="","",IF(H76=Parametros!$B$5,J76*Parametros!$B$13,IF(H76=Parametros!$B$6,0,J76*Parametros!$B$13*Parametros!$C$5)))</f>
        <v/>
      </c>
      <c r="R76" s="18">
        <f>IF($E76="","",IF(H76=Parametros!$B$6,J76*Parametros!$B$13,IF(H76=Parametros!$B$5,0,J76*Parametros!$B$13*Parametros!$C$6)))</f>
        <v/>
      </c>
      <c r="S76" s="18">
        <f>IF($E76="","",J76*Parametros!$B$14*M76)</f>
        <v/>
      </c>
      <c r="T76" s="18">
        <f>IF($E76="","",J76*Parametros!$B$14*(1-M76))</f>
        <v/>
      </c>
      <c r="U76" s="18">
        <f>IF($E76="","",O76+Q76+S76)</f>
        <v/>
      </c>
      <c r="V76" s="18">
        <f>IF($E76="","",P76+R76+T76)</f>
        <v/>
      </c>
      <c r="W76" s="18">
        <f>IF($E76="","",ROUND(J76-N76-U76-V76,2))</f>
        <v/>
      </c>
    </row>
    <row r="77">
      <c r="A77" s="10" t="n"/>
      <c r="B77" s="10" t="n"/>
      <c r="C77" s="10" t="n"/>
      <c r="D77" s="28" t="n"/>
      <c r="E77" s="30" t="n"/>
      <c r="F77" s="30" t="n"/>
      <c r="G77" s="10" t="n"/>
      <c r="H77" s="10" t="n"/>
      <c r="I77" s="10" t="n"/>
      <c r="J77" s="18">
        <f>IF($E77="","",E77-F77)</f>
        <v/>
      </c>
      <c r="K77" s="31">
        <f>IF($A77="","",SUMIFS(Horas!$D:$D,Horas!$B:$B,$A77,Horas!$C:$C,Parametros!$B$5))</f>
        <v/>
      </c>
      <c r="L77" s="31">
        <f>IF($A77="","",SUMIFS(Horas!$D:$D,Horas!$B:$B,$A77,Horas!$C:$C,Parametros!$B$6))</f>
        <v/>
      </c>
      <c r="M77" s="22">
        <f>IF($E77="","",IF(N(K77)+N(L77)=0,Parametros!$C$5,N(K77)/(N(K77)+N(L77))))</f>
        <v/>
      </c>
      <c r="N77" s="18">
        <f>IF($E77="","",J77*Parametros!$B$11+IF(G77=Parametros!$B$16,J77*Parametros!$B$12,0))</f>
        <v/>
      </c>
      <c r="O77" s="18">
        <f>IF($E77="","",IF(G77=Parametros!$B$5,J77*Parametros!$B$12,0))</f>
        <v/>
      </c>
      <c r="P77" s="18">
        <f>IF($E77="","",IF(G77=Parametros!$B$6,J77*Parametros!$B$12,0))</f>
        <v/>
      </c>
      <c r="Q77" s="18">
        <f>IF($E77="","",IF(H77=Parametros!$B$5,J77*Parametros!$B$13,IF(H77=Parametros!$B$6,0,J77*Parametros!$B$13*Parametros!$C$5)))</f>
        <v/>
      </c>
      <c r="R77" s="18">
        <f>IF($E77="","",IF(H77=Parametros!$B$6,J77*Parametros!$B$13,IF(H77=Parametros!$B$5,0,J77*Parametros!$B$13*Parametros!$C$6)))</f>
        <v/>
      </c>
      <c r="S77" s="18">
        <f>IF($E77="","",J77*Parametros!$B$14*M77)</f>
        <v/>
      </c>
      <c r="T77" s="18">
        <f>IF($E77="","",J77*Parametros!$B$14*(1-M77))</f>
        <v/>
      </c>
      <c r="U77" s="18">
        <f>IF($E77="","",O77+Q77+S77)</f>
        <v/>
      </c>
      <c r="V77" s="18">
        <f>IF($E77="","",P77+R77+T77)</f>
        <v/>
      </c>
      <c r="W77" s="18">
        <f>IF($E77="","",ROUND(J77-N77-U77-V77,2))</f>
        <v/>
      </c>
    </row>
    <row r="78">
      <c r="A78" s="10" t="n"/>
      <c r="B78" s="10" t="n"/>
      <c r="C78" s="10" t="n"/>
      <c r="D78" s="28" t="n"/>
      <c r="E78" s="30" t="n"/>
      <c r="F78" s="30" t="n"/>
      <c r="G78" s="10" t="n"/>
      <c r="H78" s="10" t="n"/>
      <c r="I78" s="10" t="n"/>
      <c r="J78" s="18">
        <f>IF($E78="","",E78-F78)</f>
        <v/>
      </c>
      <c r="K78" s="31">
        <f>IF($A78="","",SUMIFS(Horas!$D:$D,Horas!$B:$B,$A78,Horas!$C:$C,Parametros!$B$5))</f>
        <v/>
      </c>
      <c r="L78" s="31">
        <f>IF($A78="","",SUMIFS(Horas!$D:$D,Horas!$B:$B,$A78,Horas!$C:$C,Parametros!$B$6))</f>
        <v/>
      </c>
      <c r="M78" s="22">
        <f>IF($E78="","",IF(N(K78)+N(L78)=0,Parametros!$C$5,N(K78)/(N(K78)+N(L78))))</f>
        <v/>
      </c>
      <c r="N78" s="18">
        <f>IF($E78="","",J78*Parametros!$B$11+IF(G78=Parametros!$B$16,J78*Parametros!$B$12,0))</f>
        <v/>
      </c>
      <c r="O78" s="18">
        <f>IF($E78="","",IF(G78=Parametros!$B$5,J78*Parametros!$B$12,0))</f>
        <v/>
      </c>
      <c r="P78" s="18">
        <f>IF($E78="","",IF(G78=Parametros!$B$6,J78*Parametros!$B$12,0))</f>
        <v/>
      </c>
      <c r="Q78" s="18">
        <f>IF($E78="","",IF(H78=Parametros!$B$5,J78*Parametros!$B$13,IF(H78=Parametros!$B$6,0,J78*Parametros!$B$13*Parametros!$C$5)))</f>
        <v/>
      </c>
      <c r="R78" s="18">
        <f>IF($E78="","",IF(H78=Parametros!$B$6,J78*Parametros!$B$13,IF(H78=Parametros!$B$5,0,J78*Parametros!$B$13*Parametros!$C$6)))</f>
        <v/>
      </c>
      <c r="S78" s="18">
        <f>IF($E78="","",J78*Parametros!$B$14*M78)</f>
        <v/>
      </c>
      <c r="T78" s="18">
        <f>IF($E78="","",J78*Parametros!$B$14*(1-M78))</f>
        <v/>
      </c>
      <c r="U78" s="18">
        <f>IF($E78="","",O78+Q78+S78)</f>
        <v/>
      </c>
      <c r="V78" s="18">
        <f>IF($E78="","",P78+R78+T78)</f>
        <v/>
      </c>
      <c r="W78" s="18">
        <f>IF($E78="","",ROUND(J78-N78-U78-V78,2))</f>
        <v/>
      </c>
    </row>
    <row r="79">
      <c r="A79" s="10" t="n"/>
      <c r="B79" s="10" t="n"/>
      <c r="C79" s="10" t="n"/>
      <c r="D79" s="28" t="n"/>
      <c r="E79" s="30" t="n"/>
      <c r="F79" s="30" t="n"/>
      <c r="G79" s="10" t="n"/>
      <c r="H79" s="10" t="n"/>
      <c r="I79" s="10" t="n"/>
      <c r="J79" s="18">
        <f>IF($E79="","",E79-F79)</f>
        <v/>
      </c>
      <c r="K79" s="31">
        <f>IF($A79="","",SUMIFS(Horas!$D:$D,Horas!$B:$B,$A79,Horas!$C:$C,Parametros!$B$5))</f>
        <v/>
      </c>
      <c r="L79" s="31">
        <f>IF($A79="","",SUMIFS(Horas!$D:$D,Horas!$B:$B,$A79,Horas!$C:$C,Parametros!$B$6))</f>
        <v/>
      </c>
      <c r="M79" s="22">
        <f>IF($E79="","",IF(N(K79)+N(L79)=0,Parametros!$C$5,N(K79)/(N(K79)+N(L79))))</f>
        <v/>
      </c>
      <c r="N79" s="18">
        <f>IF($E79="","",J79*Parametros!$B$11+IF(G79=Parametros!$B$16,J79*Parametros!$B$12,0))</f>
        <v/>
      </c>
      <c r="O79" s="18">
        <f>IF($E79="","",IF(G79=Parametros!$B$5,J79*Parametros!$B$12,0))</f>
        <v/>
      </c>
      <c r="P79" s="18">
        <f>IF($E79="","",IF(G79=Parametros!$B$6,J79*Parametros!$B$12,0))</f>
        <v/>
      </c>
      <c r="Q79" s="18">
        <f>IF($E79="","",IF(H79=Parametros!$B$5,J79*Parametros!$B$13,IF(H79=Parametros!$B$6,0,J79*Parametros!$B$13*Parametros!$C$5)))</f>
        <v/>
      </c>
      <c r="R79" s="18">
        <f>IF($E79="","",IF(H79=Parametros!$B$6,J79*Parametros!$B$13,IF(H79=Parametros!$B$5,0,J79*Parametros!$B$13*Parametros!$C$6)))</f>
        <v/>
      </c>
      <c r="S79" s="18">
        <f>IF($E79="","",J79*Parametros!$B$14*M79)</f>
        <v/>
      </c>
      <c r="T79" s="18">
        <f>IF($E79="","",J79*Parametros!$B$14*(1-M79))</f>
        <v/>
      </c>
      <c r="U79" s="18">
        <f>IF($E79="","",O79+Q79+S79)</f>
        <v/>
      </c>
      <c r="V79" s="18">
        <f>IF($E79="","",P79+R79+T79)</f>
        <v/>
      </c>
      <c r="W79" s="18">
        <f>IF($E79="","",ROUND(J79-N79-U79-V79,2))</f>
        <v/>
      </c>
    </row>
    <row r="80">
      <c r="A80" s="10" t="n"/>
      <c r="B80" s="10" t="n"/>
      <c r="C80" s="10" t="n"/>
      <c r="D80" s="28" t="n"/>
      <c r="E80" s="30" t="n"/>
      <c r="F80" s="30" t="n"/>
      <c r="G80" s="10" t="n"/>
      <c r="H80" s="10" t="n"/>
      <c r="I80" s="10" t="n"/>
      <c r="J80" s="18">
        <f>IF($E80="","",E80-F80)</f>
        <v/>
      </c>
      <c r="K80" s="31">
        <f>IF($A80="","",SUMIFS(Horas!$D:$D,Horas!$B:$B,$A80,Horas!$C:$C,Parametros!$B$5))</f>
        <v/>
      </c>
      <c r="L80" s="31">
        <f>IF($A80="","",SUMIFS(Horas!$D:$D,Horas!$B:$B,$A80,Horas!$C:$C,Parametros!$B$6))</f>
        <v/>
      </c>
      <c r="M80" s="22">
        <f>IF($E80="","",IF(N(K80)+N(L80)=0,Parametros!$C$5,N(K80)/(N(K80)+N(L80))))</f>
        <v/>
      </c>
      <c r="N80" s="18">
        <f>IF($E80="","",J80*Parametros!$B$11+IF(G80=Parametros!$B$16,J80*Parametros!$B$12,0))</f>
        <v/>
      </c>
      <c r="O80" s="18">
        <f>IF($E80="","",IF(G80=Parametros!$B$5,J80*Parametros!$B$12,0))</f>
        <v/>
      </c>
      <c r="P80" s="18">
        <f>IF($E80="","",IF(G80=Parametros!$B$6,J80*Parametros!$B$12,0))</f>
        <v/>
      </c>
      <c r="Q80" s="18">
        <f>IF($E80="","",IF(H80=Parametros!$B$5,J80*Parametros!$B$13,IF(H80=Parametros!$B$6,0,J80*Parametros!$B$13*Parametros!$C$5)))</f>
        <v/>
      </c>
      <c r="R80" s="18">
        <f>IF($E80="","",IF(H80=Parametros!$B$6,J80*Parametros!$B$13,IF(H80=Parametros!$B$5,0,J80*Parametros!$B$13*Parametros!$C$6)))</f>
        <v/>
      </c>
      <c r="S80" s="18">
        <f>IF($E80="","",J80*Parametros!$B$14*M80)</f>
        <v/>
      </c>
      <c r="T80" s="18">
        <f>IF($E80="","",J80*Parametros!$B$14*(1-M80))</f>
        <v/>
      </c>
      <c r="U80" s="18">
        <f>IF($E80="","",O80+Q80+S80)</f>
        <v/>
      </c>
      <c r="V80" s="18">
        <f>IF($E80="","",P80+R80+T80)</f>
        <v/>
      </c>
      <c r="W80" s="18">
        <f>IF($E80="","",ROUND(J80-N80-U80-V80,2))</f>
        <v/>
      </c>
    </row>
    <row r="81">
      <c r="A81" s="10" t="n"/>
      <c r="B81" s="10" t="n"/>
      <c r="C81" s="10" t="n"/>
      <c r="D81" s="28" t="n"/>
      <c r="E81" s="30" t="n"/>
      <c r="F81" s="30" t="n"/>
      <c r="G81" s="10" t="n"/>
      <c r="H81" s="10" t="n"/>
      <c r="I81" s="10" t="n"/>
      <c r="J81" s="18">
        <f>IF($E81="","",E81-F81)</f>
        <v/>
      </c>
      <c r="K81" s="31">
        <f>IF($A81="","",SUMIFS(Horas!$D:$D,Horas!$B:$B,$A81,Horas!$C:$C,Parametros!$B$5))</f>
        <v/>
      </c>
      <c r="L81" s="31">
        <f>IF($A81="","",SUMIFS(Horas!$D:$D,Horas!$B:$B,$A81,Horas!$C:$C,Parametros!$B$6))</f>
        <v/>
      </c>
      <c r="M81" s="22">
        <f>IF($E81="","",IF(N(K81)+N(L81)=0,Parametros!$C$5,N(K81)/(N(K81)+N(L81))))</f>
        <v/>
      </c>
      <c r="N81" s="18">
        <f>IF($E81="","",J81*Parametros!$B$11+IF(G81=Parametros!$B$16,J81*Parametros!$B$12,0))</f>
        <v/>
      </c>
      <c r="O81" s="18">
        <f>IF($E81="","",IF(G81=Parametros!$B$5,J81*Parametros!$B$12,0))</f>
        <v/>
      </c>
      <c r="P81" s="18">
        <f>IF($E81="","",IF(G81=Parametros!$B$6,J81*Parametros!$B$12,0))</f>
        <v/>
      </c>
      <c r="Q81" s="18">
        <f>IF($E81="","",IF(H81=Parametros!$B$5,J81*Parametros!$B$13,IF(H81=Parametros!$B$6,0,J81*Parametros!$B$13*Parametros!$C$5)))</f>
        <v/>
      </c>
      <c r="R81" s="18">
        <f>IF($E81="","",IF(H81=Parametros!$B$6,J81*Parametros!$B$13,IF(H81=Parametros!$B$5,0,J81*Parametros!$B$13*Parametros!$C$6)))</f>
        <v/>
      </c>
      <c r="S81" s="18">
        <f>IF($E81="","",J81*Parametros!$B$14*M81)</f>
        <v/>
      </c>
      <c r="T81" s="18">
        <f>IF($E81="","",J81*Parametros!$B$14*(1-M81))</f>
        <v/>
      </c>
      <c r="U81" s="18">
        <f>IF($E81="","",O81+Q81+S81)</f>
        <v/>
      </c>
      <c r="V81" s="18">
        <f>IF($E81="","",P81+R81+T81)</f>
        <v/>
      </c>
      <c r="W81" s="18">
        <f>IF($E81="","",ROUND(J81-N81-U81-V81,2))</f>
        <v/>
      </c>
    </row>
    <row r="82">
      <c r="A82" s="10" t="n"/>
      <c r="B82" s="10" t="n"/>
      <c r="C82" s="10" t="n"/>
      <c r="D82" s="28" t="n"/>
      <c r="E82" s="30" t="n"/>
      <c r="F82" s="30" t="n"/>
      <c r="G82" s="10" t="n"/>
      <c r="H82" s="10" t="n"/>
      <c r="I82" s="10" t="n"/>
      <c r="J82" s="18">
        <f>IF($E82="","",E82-F82)</f>
        <v/>
      </c>
      <c r="K82" s="31">
        <f>IF($A82="","",SUMIFS(Horas!$D:$D,Horas!$B:$B,$A82,Horas!$C:$C,Parametros!$B$5))</f>
        <v/>
      </c>
      <c r="L82" s="31">
        <f>IF($A82="","",SUMIFS(Horas!$D:$D,Horas!$B:$B,$A82,Horas!$C:$C,Parametros!$B$6))</f>
        <v/>
      </c>
      <c r="M82" s="22">
        <f>IF($E82="","",IF(N(K82)+N(L82)=0,Parametros!$C$5,N(K82)/(N(K82)+N(L82))))</f>
        <v/>
      </c>
      <c r="N82" s="18">
        <f>IF($E82="","",J82*Parametros!$B$11+IF(G82=Parametros!$B$16,J82*Parametros!$B$12,0))</f>
        <v/>
      </c>
      <c r="O82" s="18">
        <f>IF($E82="","",IF(G82=Parametros!$B$5,J82*Parametros!$B$12,0))</f>
        <v/>
      </c>
      <c r="P82" s="18">
        <f>IF($E82="","",IF(G82=Parametros!$B$6,J82*Parametros!$B$12,0))</f>
        <v/>
      </c>
      <c r="Q82" s="18">
        <f>IF($E82="","",IF(H82=Parametros!$B$5,J82*Parametros!$B$13,IF(H82=Parametros!$B$6,0,J82*Parametros!$B$13*Parametros!$C$5)))</f>
        <v/>
      </c>
      <c r="R82" s="18">
        <f>IF($E82="","",IF(H82=Parametros!$B$6,J82*Parametros!$B$13,IF(H82=Parametros!$B$5,0,J82*Parametros!$B$13*Parametros!$C$6)))</f>
        <v/>
      </c>
      <c r="S82" s="18">
        <f>IF($E82="","",J82*Parametros!$B$14*M82)</f>
        <v/>
      </c>
      <c r="T82" s="18">
        <f>IF($E82="","",J82*Parametros!$B$14*(1-M82))</f>
        <v/>
      </c>
      <c r="U82" s="18">
        <f>IF($E82="","",O82+Q82+S82)</f>
        <v/>
      </c>
      <c r="V82" s="18">
        <f>IF($E82="","",P82+R82+T82)</f>
        <v/>
      </c>
      <c r="W82" s="18">
        <f>IF($E82="","",ROUND(J82-N82-U82-V82,2))</f>
        <v/>
      </c>
    </row>
    <row r="83">
      <c r="A83" s="10" t="n"/>
      <c r="B83" s="10" t="n"/>
      <c r="C83" s="10" t="n"/>
      <c r="D83" s="28" t="n"/>
      <c r="E83" s="30" t="n"/>
      <c r="F83" s="30" t="n"/>
      <c r="G83" s="10" t="n"/>
      <c r="H83" s="10" t="n"/>
      <c r="I83" s="10" t="n"/>
      <c r="J83" s="18">
        <f>IF($E83="","",E83-F83)</f>
        <v/>
      </c>
      <c r="K83" s="31">
        <f>IF($A83="","",SUMIFS(Horas!$D:$D,Horas!$B:$B,$A83,Horas!$C:$C,Parametros!$B$5))</f>
        <v/>
      </c>
      <c r="L83" s="31">
        <f>IF($A83="","",SUMIFS(Horas!$D:$D,Horas!$B:$B,$A83,Horas!$C:$C,Parametros!$B$6))</f>
        <v/>
      </c>
      <c r="M83" s="22">
        <f>IF($E83="","",IF(N(K83)+N(L83)=0,Parametros!$C$5,N(K83)/(N(K83)+N(L83))))</f>
        <v/>
      </c>
      <c r="N83" s="18">
        <f>IF($E83="","",J83*Parametros!$B$11+IF(G83=Parametros!$B$16,J83*Parametros!$B$12,0))</f>
        <v/>
      </c>
      <c r="O83" s="18">
        <f>IF($E83="","",IF(G83=Parametros!$B$5,J83*Parametros!$B$12,0))</f>
        <v/>
      </c>
      <c r="P83" s="18">
        <f>IF($E83="","",IF(G83=Parametros!$B$6,J83*Parametros!$B$12,0))</f>
        <v/>
      </c>
      <c r="Q83" s="18">
        <f>IF($E83="","",IF(H83=Parametros!$B$5,J83*Parametros!$B$13,IF(H83=Parametros!$B$6,0,J83*Parametros!$B$13*Parametros!$C$5)))</f>
        <v/>
      </c>
      <c r="R83" s="18">
        <f>IF($E83="","",IF(H83=Parametros!$B$6,J83*Parametros!$B$13,IF(H83=Parametros!$B$5,0,J83*Parametros!$B$13*Parametros!$C$6)))</f>
        <v/>
      </c>
      <c r="S83" s="18">
        <f>IF($E83="","",J83*Parametros!$B$14*M83)</f>
        <v/>
      </c>
      <c r="T83" s="18">
        <f>IF($E83="","",J83*Parametros!$B$14*(1-M83))</f>
        <v/>
      </c>
      <c r="U83" s="18">
        <f>IF($E83="","",O83+Q83+S83)</f>
        <v/>
      </c>
      <c r="V83" s="18">
        <f>IF($E83="","",P83+R83+T83)</f>
        <v/>
      </c>
      <c r="W83" s="18">
        <f>IF($E83="","",ROUND(J83-N83-U83-V83,2))</f>
        <v/>
      </c>
    </row>
    <row r="84">
      <c r="A84" s="10" t="n"/>
      <c r="B84" s="10" t="n"/>
      <c r="C84" s="10" t="n"/>
      <c r="D84" s="28" t="n"/>
      <c r="E84" s="30" t="n"/>
      <c r="F84" s="30" t="n"/>
      <c r="G84" s="10" t="n"/>
      <c r="H84" s="10" t="n"/>
      <c r="I84" s="10" t="n"/>
      <c r="J84" s="18">
        <f>IF($E84="","",E84-F84)</f>
        <v/>
      </c>
      <c r="K84" s="31">
        <f>IF($A84="","",SUMIFS(Horas!$D:$D,Horas!$B:$B,$A84,Horas!$C:$C,Parametros!$B$5))</f>
        <v/>
      </c>
      <c r="L84" s="31">
        <f>IF($A84="","",SUMIFS(Horas!$D:$D,Horas!$B:$B,$A84,Horas!$C:$C,Parametros!$B$6))</f>
        <v/>
      </c>
      <c r="M84" s="22">
        <f>IF($E84="","",IF(N(K84)+N(L84)=0,Parametros!$C$5,N(K84)/(N(K84)+N(L84))))</f>
        <v/>
      </c>
      <c r="N84" s="18">
        <f>IF($E84="","",J84*Parametros!$B$11+IF(G84=Parametros!$B$16,J84*Parametros!$B$12,0))</f>
        <v/>
      </c>
      <c r="O84" s="18">
        <f>IF($E84="","",IF(G84=Parametros!$B$5,J84*Parametros!$B$12,0))</f>
        <v/>
      </c>
      <c r="P84" s="18">
        <f>IF($E84="","",IF(G84=Parametros!$B$6,J84*Parametros!$B$12,0))</f>
        <v/>
      </c>
      <c r="Q84" s="18">
        <f>IF($E84="","",IF(H84=Parametros!$B$5,J84*Parametros!$B$13,IF(H84=Parametros!$B$6,0,J84*Parametros!$B$13*Parametros!$C$5)))</f>
        <v/>
      </c>
      <c r="R84" s="18">
        <f>IF($E84="","",IF(H84=Parametros!$B$6,J84*Parametros!$B$13,IF(H84=Parametros!$B$5,0,J84*Parametros!$B$13*Parametros!$C$6)))</f>
        <v/>
      </c>
      <c r="S84" s="18">
        <f>IF($E84="","",J84*Parametros!$B$14*M84)</f>
        <v/>
      </c>
      <c r="T84" s="18">
        <f>IF($E84="","",J84*Parametros!$B$14*(1-M84))</f>
        <v/>
      </c>
      <c r="U84" s="18">
        <f>IF($E84="","",O84+Q84+S84)</f>
        <v/>
      </c>
      <c r="V84" s="18">
        <f>IF($E84="","",P84+R84+T84)</f>
        <v/>
      </c>
      <c r="W84" s="18">
        <f>IF($E84="","",ROUND(J84-N84-U84-V84,2))</f>
        <v/>
      </c>
    </row>
    <row r="85">
      <c r="A85" s="10" t="n"/>
      <c r="B85" s="10" t="n"/>
      <c r="C85" s="10" t="n"/>
      <c r="D85" s="28" t="n"/>
      <c r="E85" s="30" t="n"/>
      <c r="F85" s="30" t="n"/>
      <c r="G85" s="10" t="n"/>
      <c r="H85" s="10" t="n"/>
      <c r="I85" s="10" t="n"/>
      <c r="J85" s="18">
        <f>IF($E85="","",E85-F85)</f>
        <v/>
      </c>
      <c r="K85" s="31">
        <f>IF($A85="","",SUMIFS(Horas!$D:$D,Horas!$B:$B,$A85,Horas!$C:$C,Parametros!$B$5))</f>
        <v/>
      </c>
      <c r="L85" s="31">
        <f>IF($A85="","",SUMIFS(Horas!$D:$D,Horas!$B:$B,$A85,Horas!$C:$C,Parametros!$B$6))</f>
        <v/>
      </c>
      <c r="M85" s="22">
        <f>IF($E85="","",IF(N(K85)+N(L85)=0,Parametros!$C$5,N(K85)/(N(K85)+N(L85))))</f>
        <v/>
      </c>
      <c r="N85" s="18">
        <f>IF($E85="","",J85*Parametros!$B$11+IF(G85=Parametros!$B$16,J85*Parametros!$B$12,0))</f>
        <v/>
      </c>
      <c r="O85" s="18">
        <f>IF($E85="","",IF(G85=Parametros!$B$5,J85*Parametros!$B$12,0))</f>
        <v/>
      </c>
      <c r="P85" s="18">
        <f>IF($E85="","",IF(G85=Parametros!$B$6,J85*Parametros!$B$12,0))</f>
        <v/>
      </c>
      <c r="Q85" s="18">
        <f>IF($E85="","",IF(H85=Parametros!$B$5,J85*Parametros!$B$13,IF(H85=Parametros!$B$6,0,J85*Parametros!$B$13*Parametros!$C$5)))</f>
        <v/>
      </c>
      <c r="R85" s="18">
        <f>IF($E85="","",IF(H85=Parametros!$B$6,J85*Parametros!$B$13,IF(H85=Parametros!$B$5,0,J85*Parametros!$B$13*Parametros!$C$6)))</f>
        <v/>
      </c>
      <c r="S85" s="18">
        <f>IF($E85="","",J85*Parametros!$B$14*M85)</f>
        <v/>
      </c>
      <c r="T85" s="18">
        <f>IF($E85="","",J85*Parametros!$B$14*(1-M85))</f>
        <v/>
      </c>
      <c r="U85" s="18">
        <f>IF($E85="","",O85+Q85+S85)</f>
        <v/>
      </c>
      <c r="V85" s="18">
        <f>IF($E85="","",P85+R85+T85)</f>
        <v/>
      </c>
      <c r="W85" s="18">
        <f>IF($E85="","",ROUND(J85-N85-U85-V85,2))</f>
        <v/>
      </c>
    </row>
    <row r="86">
      <c r="A86" s="10" t="n"/>
      <c r="B86" s="10" t="n"/>
      <c r="C86" s="10" t="n"/>
      <c r="D86" s="28" t="n"/>
      <c r="E86" s="30" t="n"/>
      <c r="F86" s="30" t="n"/>
      <c r="G86" s="10" t="n"/>
      <c r="H86" s="10" t="n"/>
      <c r="I86" s="10" t="n"/>
      <c r="J86" s="18">
        <f>IF($E86="","",E86-F86)</f>
        <v/>
      </c>
      <c r="K86" s="31">
        <f>IF($A86="","",SUMIFS(Horas!$D:$D,Horas!$B:$B,$A86,Horas!$C:$C,Parametros!$B$5))</f>
        <v/>
      </c>
      <c r="L86" s="31">
        <f>IF($A86="","",SUMIFS(Horas!$D:$D,Horas!$B:$B,$A86,Horas!$C:$C,Parametros!$B$6))</f>
        <v/>
      </c>
      <c r="M86" s="22">
        <f>IF($E86="","",IF(N(K86)+N(L86)=0,Parametros!$C$5,N(K86)/(N(K86)+N(L86))))</f>
        <v/>
      </c>
      <c r="N86" s="18">
        <f>IF($E86="","",J86*Parametros!$B$11+IF(G86=Parametros!$B$16,J86*Parametros!$B$12,0))</f>
        <v/>
      </c>
      <c r="O86" s="18">
        <f>IF($E86="","",IF(G86=Parametros!$B$5,J86*Parametros!$B$12,0))</f>
        <v/>
      </c>
      <c r="P86" s="18">
        <f>IF($E86="","",IF(G86=Parametros!$B$6,J86*Parametros!$B$12,0))</f>
        <v/>
      </c>
      <c r="Q86" s="18">
        <f>IF($E86="","",IF(H86=Parametros!$B$5,J86*Parametros!$B$13,IF(H86=Parametros!$B$6,0,J86*Parametros!$B$13*Parametros!$C$5)))</f>
        <v/>
      </c>
      <c r="R86" s="18">
        <f>IF($E86="","",IF(H86=Parametros!$B$6,J86*Parametros!$B$13,IF(H86=Parametros!$B$5,0,J86*Parametros!$B$13*Parametros!$C$6)))</f>
        <v/>
      </c>
      <c r="S86" s="18">
        <f>IF($E86="","",J86*Parametros!$B$14*M86)</f>
        <v/>
      </c>
      <c r="T86" s="18">
        <f>IF($E86="","",J86*Parametros!$B$14*(1-M86))</f>
        <v/>
      </c>
      <c r="U86" s="18">
        <f>IF($E86="","",O86+Q86+S86)</f>
        <v/>
      </c>
      <c r="V86" s="18">
        <f>IF($E86="","",P86+R86+T86)</f>
        <v/>
      </c>
      <c r="W86" s="18">
        <f>IF($E86="","",ROUND(J86-N86-U86-V86,2))</f>
        <v/>
      </c>
    </row>
    <row r="87">
      <c r="A87" s="10" t="n"/>
      <c r="B87" s="10" t="n"/>
      <c r="C87" s="10" t="n"/>
      <c r="D87" s="28" t="n"/>
      <c r="E87" s="30" t="n"/>
      <c r="F87" s="30" t="n"/>
      <c r="G87" s="10" t="n"/>
      <c r="H87" s="10" t="n"/>
      <c r="I87" s="10" t="n"/>
      <c r="J87" s="18">
        <f>IF($E87="","",E87-F87)</f>
        <v/>
      </c>
      <c r="K87" s="31">
        <f>IF($A87="","",SUMIFS(Horas!$D:$D,Horas!$B:$B,$A87,Horas!$C:$C,Parametros!$B$5))</f>
        <v/>
      </c>
      <c r="L87" s="31">
        <f>IF($A87="","",SUMIFS(Horas!$D:$D,Horas!$B:$B,$A87,Horas!$C:$C,Parametros!$B$6))</f>
        <v/>
      </c>
      <c r="M87" s="22">
        <f>IF($E87="","",IF(N(K87)+N(L87)=0,Parametros!$C$5,N(K87)/(N(K87)+N(L87))))</f>
        <v/>
      </c>
      <c r="N87" s="18">
        <f>IF($E87="","",J87*Parametros!$B$11+IF(G87=Parametros!$B$16,J87*Parametros!$B$12,0))</f>
        <v/>
      </c>
      <c r="O87" s="18">
        <f>IF($E87="","",IF(G87=Parametros!$B$5,J87*Parametros!$B$12,0))</f>
        <v/>
      </c>
      <c r="P87" s="18">
        <f>IF($E87="","",IF(G87=Parametros!$B$6,J87*Parametros!$B$12,0))</f>
        <v/>
      </c>
      <c r="Q87" s="18">
        <f>IF($E87="","",IF(H87=Parametros!$B$5,J87*Parametros!$B$13,IF(H87=Parametros!$B$6,0,J87*Parametros!$B$13*Parametros!$C$5)))</f>
        <v/>
      </c>
      <c r="R87" s="18">
        <f>IF($E87="","",IF(H87=Parametros!$B$6,J87*Parametros!$B$13,IF(H87=Parametros!$B$5,0,J87*Parametros!$B$13*Parametros!$C$6)))</f>
        <v/>
      </c>
      <c r="S87" s="18">
        <f>IF($E87="","",J87*Parametros!$B$14*M87)</f>
        <v/>
      </c>
      <c r="T87" s="18">
        <f>IF($E87="","",J87*Parametros!$B$14*(1-M87))</f>
        <v/>
      </c>
      <c r="U87" s="18">
        <f>IF($E87="","",O87+Q87+S87)</f>
        <v/>
      </c>
      <c r="V87" s="18">
        <f>IF($E87="","",P87+R87+T87)</f>
        <v/>
      </c>
      <c r="W87" s="18">
        <f>IF($E87="","",ROUND(J87-N87-U87-V87,2))</f>
        <v/>
      </c>
    </row>
    <row r="88">
      <c r="A88" s="10" t="n"/>
      <c r="B88" s="10" t="n"/>
      <c r="C88" s="10" t="n"/>
      <c r="D88" s="28" t="n"/>
      <c r="E88" s="30" t="n"/>
      <c r="F88" s="30" t="n"/>
      <c r="G88" s="10" t="n"/>
      <c r="H88" s="10" t="n"/>
      <c r="I88" s="10" t="n"/>
      <c r="J88" s="18">
        <f>IF($E88="","",E88-F88)</f>
        <v/>
      </c>
      <c r="K88" s="31">
        <f>IF($A88="","",SUMIFS(Horas!$D:$D,Horas!$B:$B,$A88,Horas!$C:$C,Parametros!$B$5))</f>
        <v/>
      </c>
      <c r="L88" s="31">
        <f>IF($A88="","",SUMIFS(Horas!$D:$D,Horas!$B:$B,$A88,Horas!$C:$C,Parametros!$B$6))</f>
        <v/>
      </c>
      <c r="M88" s="22">
        <f>IF($E88="","",IF(N(K88)+N(L88)=0,Parametros!$C$5,N(K88)/(N(K88)+N(L88))))</f>
        <v/>
      </c>
      <c r="N88" s="18">
        <f>IF($E88="","",J88*Parametros!$B$11+IF(G88=Parametros!$B$16,J88*Parametros!$B$12,0))</f>
        <v/>
      </c>
      <c r="O88" s="18">
        <f>IF($E88="","",IF(G88=Parametros!$B$5,J88*Parametros!$B$12,0))</f>
        <v/>
      </c>
      <c r="P88" s="18">
        <f>IF($E88="","",IF(G88=Parametros!$B$6,J88*Parametros!$B$12,0))</f>
        <v/>
      </c>
      <c r="Q88" s="18">
        <f>IF($E88="","",IF(H88=Parametros!$B$5,J88*Parametros!$B$13,IF(H88=Parametros!$B$6,0,J88*Parametros!$B$13*Parametros!$C$5)))</f>
        <v/>
      </c>
      <c r="R88" s="18">
        <f>IF($E88="","",IF(H88=Parametros!$B$6,J88*Parametros!$B$13,IF(H88=Parametros!$B$5,0,J88*Parametros!$B$13*Parametros!$C$6)))</f>
        <v/>
      </c>
      <c r="S88" s="18">
        <f>IF($E88="","",J88*Parametros!$B$14*M88)</f>
        <v/>
      </c>
      <c r="T88" s="18">
        <f>IF($E88="","",J88*Parametros!$B$14*(1-M88))</f>
        <v/>
      </c>
      <c r="U88" s="18">
        <f>IF($E88="","",O88+Q88+S88)</f>
        <v/>
      </c>
      <c r="V88" s="18">
        <f>IF($E88="","",P88+R88+T88)</f>
        <v/>
      </c>
      <c r="W88" s="18">
        <f>IF($E88="","",ROUND(J88-N88-U88-V88,2))</f>
        <v/>
      </c>
    </row>
    <row r="89">
      <c r="A89" s="10" t="n"/>
      <c r="B89" s="10" t="n"/>
      <c r="C89" s="10" t="n"/>
      <c r="D89" s="28" t="n"/>
      <c r="E89" s="30" t="n"/>
      <c r="F89" s="30" t="n"/>
      <c r="G89" s="10" t="n"/>
      <c r="H89" s="10" t="n"/>
      <c r="I89" s="10" t="n"/>
      <c r="J89" s="18">
        <f>IF($E89="","",E89-F89)</f>
        <v/>
      </c>
      <c r="K89" s="31">
        <f>IF($A89="","",SUMIFS(Horas!$D:$D,Horas!$B:$B,$A89,Horas!$C:$C,Parametros!$B$5))</f>
        <v/>
      </c>
      <c r="L89" s="31">
        <f>IF($A89="","",SUMIFS(Horas!$D:$D,Horas!$B:$B,$A89,Horas!$C:$C,Parametros!$B$6))</f>
        <v/>
      </c>
      <c r="M89" s="22">
        <f>IF($E89="","",IF(N(K89)+N(L89)=0,Parametros!$C$5,N(K89)/(N(K89)+N(L89))))</f>
        <v/>
      </c>
      <c r="N89" s="18">
        <f>IF($E89="","",J89*Parametros!$B$11+IF(G89=Parametros!$B$16,J89*Parametros!$B$12,0))</f>
        <v/>
      </c>
      <c r="O89" s="18">
        <f>IF($E89="","",IF(G89=Parametros!$B$5,J89*Parametros!$B$12,0))</f>
        <v/>
      </c>
      <c r="P89" s="18">
        <f>IF($E89="","",IF(G89=Parametros!$B$6,J89*Parametros!$B$12,0))</f>
        <v/>
      </c>
      <c r="Q89" s="18">
        <f>IF($E89="","",IF(H89=Parametros!$B$5,J89*Parametros!$B$13,IF(H89=Parametros!$B$6,0,J89*Parametros!$B$13*Parametros!$C$5)))</f>
        <v/>
      </c>
      <c r="R89" s="18">
        <f>IF($E89="","",IF(H89=Parametros!$B$6,J89*Parametros!$B$13,IF(H89=Parametros!$B$5,0,J89*Parametros!$B$13*Parametros!$C$6)))</f>
        <v/>
      </c>
      <c r="S89" s="18">
        <f>IF($E89="","",J89*Parametros!$B$14*M89)</f>
        <v/>
      </c>
      <c r="T89" s="18">
        <f>IF($E89="","",J89*Parametros!$B$14*(1-M89))</f>
        <v/>
      </c>
      <c r="U89" s="18">
        <f>IF($E89="","",O89+Q89+S89)</f>
        <v/>
      </c>
      <c r="V89" s="18">
        <f>IF($E89="","",P89+R89+T89)</f>
        <v/>
      </c>
      <c r="W89" s="18">
        <f>IF($E89="","",ROUND(J89-N89-U89-V89,2))</f>
        <v/>
      </c>
    </row>
    <row r="90">
      <c r="A90" s="10" t="n"/>
      <c r="B90" s="10" t="n"/>
      <c r="C90" s="10" t="n"/>
      <c r="D90" s="28" t="n"/>
      <c r="E90" s="30" t="n"/>
      <c r="F90" s="30" t="n"/>
      <c r="G90" s="10" t="n"/>
      <c r="H90" s="10" t="n"/>
      <c r="I90" s="10" t="n"/>
      <c r="J90" s="18">
        <f>IF($E90="","",E90-F90)</f>
        <v/>
      </c>
      <c r="K90" s="31">
        <f>IF($A90="","",SUMIFS(Horas!$D:$D,Horas!$B:$B,$A90,Horas!$C:$C,Parametros!$B$5))</f>
        <v/>
      </c>
      <c r="L90" s="31">
        <f>IF($A90="","",SUMIFS(Horas!$D:$D,Horas!$B:$B,$A90,Horas!$C:$C,Parametros!$B$6))</f>
        <v/>
      </c>
      <c r="M90" s="22">
        <f>IF($E90="","",IF(N(K90)+N(L90)=0,Parametros!$C$5,N(K90)/(N(K90)+N(L90))))</f>
        <v/>
      </c>
      <c r="N90" s="18">
        <f>IF($E90="","",J90*Parametros!$B$11+IF(G90=Parametros!$B$16,J90*Parametros!$B$12,0))</f>
        <v/>
      </c>
      <c r="O90" s="18">
        <f>IF($E90="","",IF(G90=Parametros!$B$5,J90*Parametros!$B$12,0))</f>
        <v/>
      </c>
      <c r="P90" s="18">
        <f>IF($E90="","",IF(G90=Parametros!$B$6,J90*Parametros!$B$12,0))</f>
        <v/>
      </c>
      <c r="Q90" s="18">
        <f>IF($E90="","",IF(H90=Parametros!$B$5,J90*Parametros!$B$13,IF(H90=Parametros!$B$6,0,J90*Parametros!$B$13*Parametros!$C$5)))</f>
        <v/>
      </c>
      <c r="R90" s="18">
        <f>IF($E90="","",IF(H90=Parametros!$B$6,J90*Parametros!$B$13,IF(H90=Parametros!$B$5,0,J90*Parametros!$B$13*Parametros!$C$6)))</f>
        <v/>
      </c>
      <c r="S90" s="18">
        <f>IF($E90="","",J90*Parametros!$B$14*M90)</f>
        <v/>
      </c>
      <c r="T90" s="18">
        <f>IF($E90="","",J90*Parametros!$B$14*(1-M90))</f>
        <v/>
      </c>
      <c r="U90" s="18">
        <f>IF($E90="","",O90+Q90+S90)</f>
        <v/>
      </c>
      <c r="V90" s="18">
        <f>IF($E90="","",P90+R90+T90)</f>
        <v/>
      </c>
      <c r="W90" s="18">
        <f>IF($E90="","",ROUND(J90-N90-U90-V90,2))</f>
        <v/>
      </c>
    </row>
    <row r="91">
      <c r="A91" s="10" t="n"/>
      <c r="B91" s="10" t="n"/>
      <c r="C91" s="10" t="n"/>
      <c r="D91" s="28" t="n"/>
      <c r="E91" s="30" t="n"/>
      <c r="F91" s="30" t="n"/>
      <c r="G91" s="10" t="n"/>
      <c r="H91" s="10" t="n"/>
      <c r="I91" s="10" t="n"/>
      <c r="J91" s="18">
        <f>IF($E91="","",E91-F91)</f>
        <v/>
      </c>
      <c r="K91" s="31">
        <f>IF($A91="","",SUMIFS(Horas!$D:$D,Horas!$B:$B,$A91,Horas!$C:$C,Parametros!$B$5))</f>
        <v/>
      </c>
      <c r="L91" s="31">
        <f>IF($A91="","",SUMIFS(Horas!$D:$D,Horas!$B:$B,$A91,Horas!$C:$C,Parametros!$B$6))</f>
        <v/>
      </c>
      <c r="M91" s="22">
        <f>IF($E91="","",IF(N(K91)+N(L91)=0,Parametros!$C$5,N(K91)/(N(K91)+N(L91))))</f>
        <v/>
      </c>
      <c r="N91" s="18">
        <f>IF($E91="","",J91*Parametros!$B$11+IF(G91=Parametros!$B$16,J91*Parametros!$B$12,0))</f>
        <v/>
      </c>
      <c r="O91" s="18">
        <f>IF($E91="","",IF(G91=Parametros!$B$5,J91*Parametros!$B$12,0))</f>
        <v/>
      </c>
      <c r="P91" s="18">
        <f>IF($E91="","",IF(G91=Parametros!$B$6,J91*Parametros!$B$12,0))</f>
        <v/>
      </c>
      <c r="Q91" s="18">
        <f>IF($E91="","",IF(H91=Parametros!$B$5,J91*Parametros!$B$13,IF(H91=Parametros!$B$6,0,J91*Parametros!$B$13*Parametros!$C$5)))</f>
        <v/>
      </c>
      <c r="R91" s="18">
        <f>IF($E91="","",IF(H91=Parametros!$B$6,J91*Parametros!$B$13,IF(H91=Parametros!$B$5,0,J91*Parametros!$B$13*Parametros!$C$6)))</f>
        <v/>
      </c>
      <c r="S91" s="18">
        <f>IF($E91="","",J91*Parametros!$B$14*M91)</f>
        <v/>
      </c>
      <c r="T91" s="18">
        <f>IF($E91="","",J91*Parametros!$B$14*(1-M91))</f>
        <v/>
      </c>
      <c r="U91" s="18">
        <f>IF($E91="","",O91+Q91+S91)</f>
        <v/>
      </c>
      <c r="V91" s="18">
        <f>IF($E91="","",P91+R91+T91)</f>
        <v/>
      </c>
      <c r="W91" s="18">
        <f>IF($E91="","",ROUND(J91-N91-U91-V91,2))</f>
        <v/>
      </c>
    </row>
    <row r="92">
      <c r="A92" s="10" t="n"/>
      <c r="B92" s="10" t="n"/>
      <c r="C92" s="10" t="n"/>
      <c r="D92" s="28" t="n"/>
      <c r="E92" s="30" t="n"/>
      <c r="F92" s="30" t="n"/>
      <c r="G92" s="10" t="n"/>
      <c r="H92" s="10" t="n"/>
      <c r="I92" s="10" t="n"/>
      <c r="J92" s="18">
        <f>IF($E92="","",E92-F92)</f>
        <v/>
      </c>
      <c r="K92" s="31">
        <f>IF($A92="","",SUMIFS(Horas!$D:$D,Horas!$B:$B,$A92,Horas!$C:$C,Parametros!$B$5))</f>
        <v/>
      </c>
      <c r="L92" s="31">
        <f>IF($A92="","",SUMIFS(Horas!$D:$D,Horas!$B:$B,$A92,Horas!$C:$C,Parametros!$B$6))</f>
        <v/>
      </c>
      <c r="M92" s="22">
        <f>IF($E92="","",IF(N(K92)+N(L92)=0,Parametros!$C$5,N(K92)/(N(K92)+N(L92))))</f>
        <v/>
      </c>
      <c r="N92" s="18">
        <f>IF($E92="","",J92*Parametros!$B$11+IF(G92=Parametros!$B$16,J92*Parametros!$B$12,0))</f>
        <v/>
      </c>
      <c r="O92" s="18">
        <f>IF($E92="","",IF(G92=Parametros!$B$5,J92*Parametros!$B$12,0))</f>
        <v/>
      </c>
      <c r="P92" s="18">
        <f>IF($E92="","",IF(G92=Parametros!$B$6,J92*Parametros!$B$12,0))</f>
        <v/>
      </c>
      <c r="Q92" s="18">
        <f>IF($E92="","",IF(H92=Parametros!$B$5,J92*Parametros!$B$13,IF(H92=Parametros!$B$6,0,J92*Parametros!$B$13*Parametros!$C$5)))</f>
        <v/>
      </c>
      <c r="R92" s="18">
        <f>IF($E92="","",IF(H92=Parametros!$B$6,J92*Parametros!$B$13,IF(H92=Parametros!$B$5,0,J92*Parametros!$B$13*Parametros!$C$6)))</f>
        <v/>
      </c>
      <c r="S92" s="18">
        <f>IF($E92="","",J92*Parametros!$B$14*M92)</f>
        <v/>
      </c>
      <c r="T92" s="18">
        <f>IF($E92="","",J92*Parametros!$B$14*(1-M92))</f>
        <v/>
      </c>
      <c r="U92" s="18">
        <f>IF($E92="","",O92+Q92+S92)</f>
        <v/>
      </c>
      <c r="V92" s="18">
        <f>IF($E92="","",P92+R92+T92)</f>
        <v/>
      </c>
      <c r="W92" s="18">
        <f>IF($E92="","",ROUND(J92-N92-U92-V92,2))</f>
        <v/>
      </c>
    </row>
    <row r="93">
      <c r="A93" s="10" t="n"/>
      <c r="B93" s="10" t="n"/>
      <c r="C93" s="10" t="n"/>
      <c r="D93" s="28" t="n"/>
      <c r="E93" s="30" t="n"/>
      <c r="F93" s="30" t="n"/>
      <c r="G93" s="10" t="n"/>
      <c r="H93" s="10" t="n"/>
      <c r="I93" s="10" t="n"/>
      <c r="J93" s="18">
        <f>IF($E93="","",E93-F93)</f>
        <v/>
      </c>
      <c r="K93" s="31">
        <f>IF($A93="","",SUMIFS(Horas!$D:$D,Horas!$B:$B,$A93,Horas!$C:$C,Parametros!$B$5))</f>
        <v/>
      </c>
      <c r="L93" s="31">
        <f>IF($A93="","",SUMIFS(Horas!$D:$D,Horas!$B:$B,$A93,Horas!$C:$C,Parametros!$B$6))</f>
        <v/>
      </c>
      <c r="M93" s="22">
        <f>IF($E93="","",IF(N(K93)+N(L93)=0,Parametros!$C$5,N(K93)/(N(K93)+N(L93))))</f>
        <v/>
      </c>
      <c r="N93" s="18">
        <f>IF($E93="","",J93*Parametros!$B$11+IF(G93=Parametros!$B$16,J93*Parametros!$B$12,0))</f>
        <v/>
      </c>
      <c r="O93" s="18">
        <f>IF($E93="","",IF(G93=Parametros!$B$5,J93*Parametros!$B$12,0))</f>
        <v/>
      </c>
      <c r="P93" s="18">
        <f>IF($E93="","",IF(G93=Parametros!$B$6,J93*Parametros!$B$12,0))</f>
        <v/>
      </c>
      <c r="Q93" s="18">
        <f>IF($E93="","",IF(H93=Parametros!$B$5,J93*Parametros!$B$13,IF(H93=Parametros!$B$6,0,J93*Parametros!$B$13*Parametros!$C$5)))</f>
        <v/>
      </c>
      <c r="R93" s="18">
        <f>IF($E93="","",IF(H93=Parametros!$B$6,J93*Parametros!$B$13,IF(H93=Parametros!$B$5,0,J93*Parametros!$B$13*Parametros!$C$6)))</f>
        <v/>
      </c>
      <c r="S93" s="18">
        <f>IF($E93="","",J93*Parametros!$B$14*M93)</f>
        <v/>
      </c>
      <c r="T93" s="18">
        <f>IF($E93="","",J93*Parametros!$B$14*(1-M93))</f>
        <v/>
      </c>
      <c r="U93" s="18">
        <f>IF($E93="","",O93+Q93+S93)</f>
        <v/>
      </c>
      <c r="V93" s="18">
        <f>IF($E93="","",P93+R93+T93)</f>
        <v/>
      </c>
      <c r="W93" s="18">
        <f>IF($E93="","",ROUND(J93-N93-U93-V93,2))</f>
        <v/>
      </c>
    </row>
    <row r="94">
      <c r="A94" s="10" t="n"/>
      <c r="B94" s="10" t="n"/>
      <c r="C94" s="10" t="n"/>
      <c r="D94" s="28" t="n"/>
      <c r="E94" s="30" t="n"/>
      <c r="F94" s="30" t="n"/>
      <c r="G94" s="10" t="n"/>
      <c r="H94" s="10" t="n"/>
      <c r="I94" s="10" t="n"/>
      <c r="J94" s="18">
        <f>IF($E94="","",E94-F94)</f>
        <v/>
      </c>
      <c r="K94" s="31">
        <f>IF($A94="","",SUMIFS(Horas!$D:$D,Horas!$B:$B,$A94,Horas!$C:$C,Parametros!$B$5))</f>
        <v/>
      </c>
      <c r="L94" s="31">
        <f>IF($A94="","",SUMIFS(Horas!$D:$D,Horas!$B:$B,$A94,Horas!$C:$C,Parametros!$B$6))</f>
        <v/>
      </c>
      <c r="M94" s="22">
        <f>IF($E94="","",IF(N(K94)+N(L94)=0,Parametros!$C$5,N(K94)/(N(K94)+N(L94))))</f>
        <v/>
      </c>
      <c r="N94" s="18">
        <f>IF($E94="","",J94*Parametros!$B$11+IF(G94=Parametros!$B$16,J94*Parametros!$B$12,0))</f>
        <v/>
      </c>
      <c r="O94" s="18">
        <f>IF($E94="","",IF(G94=Parametros!$B$5,J94*Parametros!$B$12,0))</f>
        <v/>
      </c>
      <c r="P94" s="18">
        <f>IF($E94="","",IF(G94=Parametros!$B$6,J94*Parametros!$B$12,0))</f>
        <v/>
      </c>
      <c r="Q94" s="18">
        <f>IF($E94="","",IF(H94=Parametros!$B$5,J94*Parametros!$B$13,IF(H94=Parametros!$B$6,0,J94*Parametros!$B$13*Parametros!$C$5)))</f>
        <v/>
      </c>
      <c r="R94" s="18">
        <f>IF($E94="","",IF(H94=Parametros!$B$6,J94*Parametros!$B$13,IF(H94=Parametros!$B$5,0,J94*Parametros!$B$13*Parametros!$C$6)))</f>
        <v/>
      </c>
      <c r="S94" s="18">
        <f>IF($E94="","",J94*Parametros!$B$14*M94)</f>
        <v/>
      </c>
      <c r="T94" s="18">
        <f>IF($E94="","",J94*Parametros!$B$14*(1-M94))</f>
        <v/>
      </c>
      <c r="U94" s="18">
        <f>IF($E94="","",O94+Q94+S94)</f>
        <v/>
      </c>
      <c r="V94" s="18">
        <f>IF($E94="","",P94+R94+T94)</f>
        <v/>
      </c>
      <c r="W94" s="18">
        <f>IF($E94="","",ROUND(J94-N94-U94-V94,2))</f>
        <v/>
      </c>
    </row>
    <row r="95">
      <c r="A95" s="10" t="n"/>
      <c r="B95" s="10" t="n"/>
      <c r="C95" s="10" t="n"/>
      <c r="D95" s="28" t="n"/>
      <c r="E95" s="30" t="n"/>
      <c r="F95" s="30" t="n"/>
      <c r="G95" s="10" t="n"/>
      <c r="H95" s="10" t="n"/>
      <c r="I95" s="10" t="n"/>
      <c r="J95" s="18">
        <f>IF($E95="","",E95-F95)</f>
        <v/>
      </c>
      <c r="K95" s="31">
        <f>IF($A95="","",SUMIFS(Horas!$D:$D,Horas!$B:$B,$A95,Horas!$C:$C,Parametros!$B$5))</f>
        <v/>
      </c>
      <c r="L95" s="31">
        <f>IF($A95="","",SUMIFS(Horas!$D:$D,Horas!$B:$B,$A95,Horas!$C:$C,Parametros!$B$6))</f>
        <v/>
      </c>
      <c r="M95" s="22">
        <f>IF($E95="","",IF(N(K95)+N(L95)=0,Parametros!$C$5,N(K95)/(N(K95)+N(L95))))</f>
        <v/>
      </c>
      <c r="N95" s="18">
        <f>IF($E95="","",J95*Parametros!$B$11+IF(G95=Parametros!$B$16,J95*Parametros!$B$12,0))</f>
        <v/>
      </c>
      <c r="O95" s="18">
        <f>IF($E95="","",IF(G95=Parametros!$B$5,J95*Parametros!$B$12,0))</f>
        <v/>
      </c>
      <c r="P95" s="18">
        <f>IF($E95="","",IF(G95=Parametros!$B$6,J95*Parametros!$B$12,0))</f>
        <v/>
      </c>
      <c r="Q95" s="18">
        <f>IF($E95="","",IF(H95=Parametros!$B$5,J95*Parametros!$B$13,IF(H95=Parametros!$B$6,0,J95*Parametros!$B$13*Parametros!$C$5)))</f>
        <v/>
      </c>
      <c r="R95" s="18">
        <f>IF($E95="","",IF(H95=Parametros!$B$6,J95*Parametros!$B$13,IF(H95=Parametros!$B$5,0,J95*Parametros!$B$13*Parametros!$C$6)))</f>
        <v/>
      </c>
      <c r="S95" s="18">
        <f>IF($E95="","",J95*Parametros!$B$14*M95)</f>
        <v/>
      </c>
      <c r="T95" s="18">
        <f>IF($E95="","",J95*Parametros!$B$14*(1-M95))</f>
        <v/>
      </c>
      <c r="U95" s="18">
        <f>IF($E95="","",O95+Q95+S95)</f>
        <v/>
      </c>
      <c r="V95" s="18">
        <f>IF($E95="","",P95+R95+T95)</f>
        <v/>
      </c>
      <c r="W95" s="18">
        <f>IF($E95="","",ROUND(J95-N95-U95-V95,2))</f>
        <v/>
      </c>
    </row>
    <row r="96">
      <c r="A96" s="10" t="n"/>
      <c r="B96" s="10" t="n"/>
      <c r="C96" s="10" t="n"/>
      <c r="D96" s="28" t="n"/>
      <c r="E96" s="30" t="n"/>
      <c r="F96" s="30" t="n"/>
      <c r="G96" s="10" t="n"/>
      <c r="H96" s="10" t="n"/>
      <c r="I96" s="10" t="n"/>
      <c r="J96" s="18">
        <f>IF($E96="","",E96-F96)</f>
        <v/>
      </c>
      <c r="K96" s="31">
        <f>IF($A96="","",SUMIFS(Horas!$D:$D,Horas!$B:$B,$A96,Horas!$C:$C,Parametros!$B$5))</f>
        <v/>
      </c>
      <c r="L96" s="31">
        <f>IF($A96="","",SUMIFS(Horas!$D:$D,Horas!$B:$B,$A96,Horas!$C:$C,Parametros!$B$6))</f>
        <v/>
      </c>
      <c r="M96" s="22">
        <f>IF($E96="","",IF(N(K96)+N(L96)=0,Parametros!$C$5,N(K96)/(N(K96)+N(L96))))</f>
        <v/>
      </c>
      <c r="N96" s="18">
        <f>IF($E96="","",J96*Parametros!$B$11+IF(G96=Parametros!$B$16,J96*Parametros!$B$12,0))</f>
        <v/>
      </c>
      <c r="O96" s="18">
        <f>IF($E96="","",IF(G96=Parametros!$B$5,J96*Parametros!$B$12,0))</f>
        <v/>
      </c>
      <c r="P96" s="18">
        <f>IF($E96="","",IF(G96=Parametros!$B$6,J96*Parametros!$B$12,0))</f>
        <v/>
      </c>
      <c r="Q96" s="18">
        <f>IF($E96="","",IF(H96=Parametros!$B$5,J96*Parametros!$B$13,IF(H96=Parametros!$B$6,0,J96*Parametros!$B$13*Parametros!$C$5)))</f>
        <v/>
      </c>
      <c r="R96" s="18">
        <f>IF($E96="","",IF(H96=Parametros!$B$6,J96*Parametros!$B$13,IF(H96=Parametros!$B$5,0,J96*Parametros!$B$13*Parametros!$C$6)))</f>
        <v/>
      </c>
      <c r="S96" s="18">
        <f>IF($E96="","",J96*Parametros!$B$14*M96)</f>
        <v/>
      </c>
      <c r="T96" s="18">
        <f>IF($E96="","",J96*Parametros!$B$14*(1-M96))</f>
        <v/>
      </c>
      <c r="U96" s="18">
        <f>IF($E96="","",O96+Q96+S96)</f>
        <v/>
      </c>
      <c r="V96" s="18">
        <f>IF($E96="","",P96+R96+T96)</f>
        <v/>
      </c>
      <c r="W96" s="18">
        <f>IF($E96="","",ROUND(J96-N96-U96-V96,2))</f>
        <v/>
      </c>
    </row>
    <row r="97">
      <c r="A97" s="10" t="n"/>
      <c r="B97" s="10" t="n"/>
      <c r="C97" s="10" t="n"/>
      <c r="D97" s="28" t="n"/>
      <c r="E97" s="30" t="n"/>
      <c r="F97" s="30" t="n"/>
      <c r="G97" s="10" t="n"/>
      <c r="H97" s="10" t="n"/>
      <c r="I97" s="10" t="n"/>
      <c r="J97" s="18">
        <f>IF($E97="","",E97-F97)</f>
        <v/>
      </c>
      <c r="K97" s="31">
        <f>IF($A97="","",SUMIFS(Horas!$D:$D,Horas!$B:$B,$A97,Horas!$C:$C,Parametros!$B$5))</f>
        <v/>
      </c>
      <c r="L97" s="31">
        <f>IF($A97="","",SUMIFS(Horas!$D:$D,Horas!$B:$B,$A97,Horas!$C:$C,Parametros!$B$6))</f>
        <v/>
      </c>
      <c r="M97" s="22">
        <f>IF($E97="","",IF(N(K97)+N(L97)=0,Parametros!$C$5,N(K97)/(N(K97)+N(L97))))</f>
        <v/>
      </c>
      <c r="N97" s="18">
        <f>IF($E97="","",J97*Parametros!$B$11+IF(G97=Parametros!$B$16,J97*Parametros!$B$12,0))</f>
        <v/>
      </c>
      <c r="O97" s="18">
        <f>IF($E97="","",IF(G97=Parametros!$B$5,J97*Parametros!$B$12,0))</f>
        <v/>
      </c>
      <c r="P97" s="18">
        <f>IF($E97="","",IF(G97=Parametros!$B$6,J97*Parametros!$B$12,0))</f>
        <v/>
      </c>
      <c r="Q97" s="18">
        <f>IF($E97="","",IF(H97=Parametros!$B$5,J97*Parametros!$B$13,IF(H97=Parametros!$B$6,0,J97*Parametros!$B$13*Parametros!$C$5)))</f>
        <v/>
      </c>
      <c r="R97" s="18">
        <f>IF($E97="","",IF(H97=Parametros!$B$6,J97*Parametros!$B$13,IF(H97=Parametros!$B$5,0,J97*Parametros!$B$13*Parametros!$C$6)))</f>
        <v/>
      </c>
      <c r="S97" s="18">
        <f>IF($E97="","",J97*Parametros!$B$14*M97)</f>
        <v/>
      </c>
      <c r="T97" s="18">
        <f>IF($E97="","",J97*Parametros!$B$14*(1-M97))</f>
        <v/>
      </c>
      <c r="U97" s="18">
        <f>IF($E97="","",O97+Q97+S97)</f>
        <v/>
      </c>
      <c r="V97" s="18">
        <f>IF($E97="","",P97+R97+T97)</f>
        <v/>
      </c>
      <c r="W97" s="18">
        <f>IF($E97="","",ROUND(J97-N97-U97-V97,2))</f>
        <v/>
      </c>
    </row>
    <row r="98">
      <c r="A98" s="10" t="n"/>
      <c r="B98" s="10" t="n"/>
      <c r="C98" s="10" t="n"/>
      <c r="D98" s="28" t="n"/>
      <c r="E98" s="30" t="n"/>
      <c r="F98" s="30" t="n"/>
      <c r="G98" s="10" t="n"/>
      <c r="H98" s="10" t="n"/>
      <c r="I98" s="10" t="n"/>
      <c r="J98" s="18">
        <f>IF($E98="","",E98-F98)</f>
        <v/>
      </c>
      <c r="K98" s="31">
        <f>IF($A98="","",SUMIFS(Horas!$D:$D,Horas!$B:$B,$A98,Horas!$C:$C,Parametros!$B$5))</f>
        <v/>
      </c>
      <c r="L98" s="31">
        <f>IF($A98="","",SUMIFS(Horas!$D:$D,Horas!$B:$B,$A98,Horas!$C:$C,Parametros!$B$6))</f>
        <v/>
      </c>
      <c r="M98" s="22">
        <f>IF($E98="","",IF(N(K98)+N(L98)=0,Parametros!$C$5,N(K98)/(N(K98)+N(L98))))</f>
        <v/>
      </c>
      <c r="N98" s="18">
        <f>IF($E98="","",J98*Parametros!$B$11+IF(G98=Parametros!$B$16,J98*Parametros!$B$12,0))</f>
        <v/>
      </c>
      <c r="O98" s="18">
        <f>IF($E98="","",IF(G98=Parametros!$B$5,J98*Parametros!$B$12,0))</f>
        <v/>
      </c>
      <c r="P98" s="18">
        <f>IF($E98="","",IF(G98=Parametros!$B$6,J98*Parametros!$B$12,0))</f>
        <v/>
      </c>
      <c r="Q98" s="18">
        <f>IF($E98="","",IF(H98=Parametros!$B$5,J98*Parametros!$B$13,IF(H98=Parametros!$B$6,0,J98*Parametros!$B$13*Parametros!$C$5)))</f>
        <v/>
      </c>
      <c r="R98" s="18">
        <f>IF($E98="","",IF(H98=Parametros!$B$6,J98*Parametros!$B$13,IF(H98=Parametros!$B$5,0,J98*Parametros!$B$13*Parametros!$C$6)))</f>
        <v/>
      </c>
      <c r="S98" s="18">
        <f>IF($E98="","",J98*Parametros!$B$14*M98)</f>
        <v/>
      </c>
      <c r="T98" s="18">
        <f>IF($E98="","",J98*Parametros!$B$14*(1-M98))</f>
        <v/>
      </c>
      <c r="U98" s="18">
        <f>IF($E98="","",O98+Q98+S98)</f>
        <v/>
      </c>
      <c r="V98" s="18">
        <f>IF($E98="","",P98+R98+T98)</f>
        <v/>
      </c>
      <c r="W98" s="18">
        <f>IF($E98="","",ROUND(J98-N98-U98-V98,2))</f>
        <v/>
      </c>
    </row>
    <row r="99">
      <c r="A99" s="10" t="n"/>
      <c r="B99" s="10" t="n"/>
      <c r="C99" s="10" t="n"/>
      <c r="D99" s="28" t="n"/>
      <c r="E99" s="30" t="n"/>
      <c r="F99" s="30" t="n"/>
      <c r="G99" s="10" t="n"/>
      <c r="H99" s="10" t="n"/>
      <c r="I99" s="10" t="n"/>
      <c r="J99" s="18">
        <f>IF($E99="","",E99-F99)</f>
        <v/>
      </c>
      <c r="K99" s="31">
        <f>IF($A99="","",SUMIFS(Horas!$D:$D,Horas!$B:$B,$A99,Horas!$C:$C,Parametros!$B$5))</f>
        <v/>
      </c>
      <c r="L99" s="31">
        <f>IF($A99="","",SUMIFS(Horas!$D:$D,Horas!$B:$B,$A99,Horas!$C:$C,Parametros!$B$6))</f>
        <v/>
      </c>
      <c r="M99" s="22">
        <f>IF($E99="","",IF(N(K99)+N(L99)=0,Parametros!$C$5,N(K99)/(N(K99)+N(L99))))</f>
        <v/>
      </c>
      <c r="N99" s="18">
        <f>IF($E99="","",J99*Parametros!$B$11+IF(G99=Parametros!$B$16,J99*Parametros!$B$12,0))</f>
        <v/>
      </c>
      <c r="O99" s="18">
        <f>IF($E99="","",IF(G99=Parametros!$B$5,J99*Parametros!$B$12,0))</f>
        <v/>
      </c>
      <c r="P99" s="18">
        <f>IF($E99="","",IF(G99=Parametros!$B$6,J99*Parametros!$B$12,0))</f>
        <v/>
      </c>
      <c r="Q99" s="18">
        <f>IF($E99="","",IF(H99=Parametros!$B$5,J99*Parametros!$B$13,IF(H99=Parametros!$B$6,0,J99*Parametros!$B$13*Parametros!$C$5)))</f>
        <v/>
      </c>
      <c r="R99" s="18">
        <f>IF($E99="","",IF(H99=Parametros!$B$6,J99*Parametros!$B$13,IF(H99=Parametros!$B$5,0,J99*Parametros!$B$13*Parametros!$C$6)))</f>
        <v/>
      </c>
      <c r="S99" s="18">
        <f>IF($E99="","",J99*Parametros!$B$14*M99)</f>
        <v/>
      </c>
      <c r="T99" s="18">
        <f>IF($E99="","",J99*Parametros!$B$14*(1-M99))</f>
        <v/>
      </c>
      <c r="U99" s="18">
        <f>IF($E99="","",O99+Q99+S99)</f>
        <v/>
      </c>
      <c r="V99" s="18">
        <f>IF($E99="","",P99+R99+T99)</f>
        <v/>
      </c>
      <c r="W99" s="18">
        <f>IF($E99="","",ROUND(J99-N99-U99-V99,2))</f>
        <v/>
      </c>
    </row>
    <row r="100">
      <c r="A100" s="10" t="n"/>
      <c r="B100" s="10" t="n"/>
      <c r="C100" s="10" t="n"/>
      <c r="D100" s="28" t="n"/>
      <c r="E100" s="30" t="n"/>
      <c r="F100" s="30" t="n"/>
      <c r="G100" s="10" t="n"/>
      <c r="H100" s="10" t="n"/>
      <c r="I100" s="10" t="n"/>
      <c r="J100" s="18">
        <f>IF($E100="","",E100-F100)</f>
        <v/>
      </c>
      <c r="K100" s="31">
        <f>IF($A100="","",SUMIFS(Horas!$D:$D,Horas!$B:$B,$A100,Horas!$C:$C,Parametros!$B$5))</f>
        <v/>
      </c>
      <c r="L100" s="31">
        <f>IF($A100="","",SUMIFS(Horas!$D:$D,Horas!$B:$B,$A100,Horas!$C:$C,Parametros!$B$6))</f>
        <v/>
      </c>
      <c r="M100" s="22">
        <f>IF($E100="","",IF(N(K100)+N(L100)=0,Parametros!$C$5,N(K100)/(N(K100)+N(L100))))</f>
        <v/>
      </c>
      <c r="N100" s="18">
        <f>IF($E100="","",J100*Parametros!$B$11+IF(G100=Parametros!$B$16,J100*Parametros!$B$12,0))</f>
        <v/>
      </c>
      <c r="O100" s="18">
        <f>IF($E100="","",IF(G100=Parametros!$B$5,J100*Parametros!$B$12,0))</f>
        <v/>
      </c>
      <c r="P100" s="18">
        <f>IF($E100="","",IF(G100=Parametros!$B$6,J100*Parametros!$B$12,0))</f>
        <v/>
      </c>
      <c r="Q100" s="18">
        <f>IF($E100="","",IF(H100=Parametros!$B$5,J100*Parametros!$B$13,IF(H100=Parametros!$B$6,0,J100*Parametros!$B$13*Parametros!$C$5)))</f>
        <v/>
      </c>
      <c r="R100" s="18">
        <f>IF($E100="","",IF(H100=Parametros!$B$6,J100*Parametros!$B$13,IF(H100=Parametros!$B$5,0,J100*Parametros!$B$13*Parametros!$C$6)))</f>
        <v/>
      </c>
      <c r="S100" s="18">
        <f>IF($E100="","",J100*Parametros!$B$14*M100)</f>
        <v/>
      </c>
      <c r="T100" s="18">
        <f>IF($E100="","",J100*Parametros!$B$14*(1-M100))</f>
        <v/>
      </c>
      <c r="U100" s="18">
        <f>IF($E100="","",O100+Q100+S100)</f>
        <v/>
      </c>
      <c r="V100" s="18">
        <f>IF($E100="","",P100+R100+T100)</f>
        <v/>
      </c>
      <c r="W100" s="18">
        <f>IF($E100="","",ROUND(J100-N100-U100-V100,2))</f>
        <v/>
      </c>
    </row>
    <row r="101">
      <c r="A101" s="10" t="n"/>
      <c r="B101" s="10" t="n"/>
      <c r="C101" s="10" t="n"/>
      <c r="D101" s="28" t="n"/>
      <c r="E101" s="30" t="n"/>
      <c r="F101" s="30" t="n"/>
      <c r="G101" s="10" t="n"/>
      <c r="H101" s="10" t="n"/>
      <c r="I101" s="10" t="n"/>
      <c r="J101" s="18">
        <f>IF($E101="","",E101-F101)</f>
        <v/>
      </c>
      <c r="K101" s="31">
        <f>IF($A101="","",SUMIFS(Horas!$D:$D,Horas!$B:$B,$A101,Horas!$C:$C,Parametros!$B$5))</f>
        <v/>
      </c>
      <c r="L101" s="31">
        <f>IF($A101="","",SUMIFS(Horas!$D:$D,Horas!$B:$B,$A101,Horas!$C:$C,Parametros!$B$6))</f>
        <v/>
      </c>
      <c r="M101" s="22">
        <f>IF($E101="","",IF(N(K101)+N(L101)=0,Parametros!$C$5,N(K101)/(N(K101)+N(L101))))</f>
        <v/>
      </c>
      <c r="N101" s="18">
        <f>IF($E101="","",J101*Parametros!$B$11+IF(G101=Parametros!$B$16,J101*Parametros!$B$12,0))</f>
        <v/>
      </c>
      <c r="O101" s="18">
        <f>IF($E101="","",IF(G101=Parametros!$B$5,J101*Parametros!$B$12,0))</f>
        <v/>
      </c>
      <c r="P101" s="18">
        <f>IF($E101="","",IF(G101=Parametros!$B$6,J101*Parametros!$B$12,0))</f>
        <v/>
      </c>
      <c r="Q101" s="18">
        <f>IF($E101="","",IF(H101=Parametros!$B$5,J101*Parametros!$B$13,IF(H101=Parametros!$B$6,0,J101*Parametros!$B$13*Parametros!$C$5)))</f>
        <v/>
      </c>
      <c r="R101" s="18">
        <f>IF($E101="","",IF(H101=Parametros!$B$6,J101*Parametros!$B$13,IF(H101=Parametros!$B$5,0,J101*Parametros!$B$13*Parametros!$C$6)))</f>
        <v/>
      </c>
      <c r="S101" s="18">
        <f>IF($E101="","",J101*Parametros!$B$14*M101)</f>
        <v/>
      </c>
      <c r="T101" s="18">
        <f>IF($E101="","",J101*Parametros!$B$14*(1-M101))</f>
        <v/>
      </c>
      <c r="U101" s="18">
        <f>IF($E101="","",O101+Q101+S101)</f>
        <v/>
      </c>
      <c r="V101" s="18">
        <f>IF($E101="","",P101+R101+T101)</f>
        <v/>
      </c>
      <c r="W101" s="18">
        <f>IF($E101="","",ROUND(J101-N101-U101-V101,2))</f>
        <v/>
      </c>
    </row>
    <row r="102">
      <c r="A102" s="10" t="n"/>
      <c r="B102" s="10" t="n"/>
      <c r="C102" s="10" t="n"/>
      <c r="D102" s="28" t="n"/>
      <c r="E102" s="30" t="n"/>
      <c r="F102" s="30" t="n"/>
      <c r="G102" s="10" t="n"/>
      <c r="H102" s="10" t="n"/>
      <c r="I102" s="10" t="n"/>
      <c r="J102" s="18">
        <f>IF($E102="","",E102-F102)</f>
        <v/>
      </c>
      <c r="K102" s="31">
        <f>IF($A102="","",SUMIFS(Horas!$D:$D,Horas!$B:$B,$A102,Horas!$C:$C,Parametros!$B$5))</f>
        <v/>
      </c>
      <c r="L102" s="31">
        <f>IF($A102="","",SUMIFS(Horas!$D:$D,Horas!$B:$B,$A102,Horas!$C:$C,Parametros!$B$6))</f>
        <v/>
      </c>
      <c r="M102" s="22">
        <f>IF($E102="","",IF(N(K102)+N(L102)=0,Parametros!$C$5,N(K102)/(N(K102)+N(L102))))</f>
        <v/>
      </c>
      <c r="N102" s="18">
        <f>IF($E102="","",J102*Parametros!$B$11+IF(G102=Parametros!$B$16,J102*Parametros!$B$12,0))</f>
        <v/>
      </c>
      <c r="O102" s="18">
        <f>IF($E102="","",IF(G102=Parametros!$B$5,J102*Parametros!$B$12,0))</f>
        <v/>
      </c>
      <c r="P102" s="18">
        <f>IF($E102="","",IF(G102=Parametros!$B$6,J102*Parametros!$B$12,0))</f>
        <v/>
      </c>
      <c r="Q102" s="18">
        <f>IF($E102="","",IF(H102=Parametros!$B$5,J102*Parametros!$B$13,IF(H102=Parametros!$B$6,0,J102*Parametros!$B$13*Parametros!$C$5)))</f>
        <v/>
      </c>
      <c r="R102" s="18">
        <f>IF($E102="","",IF(H102=Parametros!$B$6,J102*Parametros!$B$13,IF(H102=Parametros!$B$5,0,J102*Parametros!$B$13*Parametros!$C$6)))</f>
        <v/>
      </c>
      <c r="S102" s="18">
        <f>IF($E102="","",J102*Parametros!$B$14*M102)</f>
        <v/>
      </c>
      <c r="T102" s="18">
        <f>IF($E102="","",J102*Parametros!$B$14*(1-M102))</f>
        <v/>
      </c>
      <c r="U102" s="18">
        <f>IF($E102="","",O102+Q102+S102)</f>
        <v/>
      </c>
      <c r="V102" s="18">
        <f>IF($E102="","",P102+R102+T102)</f>
        <v/>
      </c>
      <c r="W102" s="18">
        <f>IF($E102="","",ROUND(J102-N102-U102-V102,2))</f>
        <v/>
      </c>
    </row>
    <row r="103">
      <c r="A103" s="10" t="n"/>
      <c r="B103" s="10" t="n"/>
      <c r="C103" s="10" t="n"/>
      <c r="D103" s="28" t="n"/>
      <c r="E103" s="30" t="n"/>
      <c r="F103" s="30" t="n"/>
      <c r="G103" s="10" t="n"/>
      <c r="H103" s="10" t="n"/>
      <c r="I103" s="10" t="n"/>
      <c r="J103" s="18">
        <f>IF($E103="","",E103-F103)</f>
        <v/>
      </c>
      <c r="K103" s="31">
        <f>IF($A103="","",SUMIFS(Horas!$D:$D,Horas!$B:$B,$A103,Horas!$C:$C,Parametros!$B$5))</f>
        <v/>
      </c>
      <c r="L103" s="31">
        <f>IF($A103="","",SUMIFS(Horas!$D:$D,Horas!$B:$B,$A103,Horas!$C:$C,Parametros!$B$6))</f>
        <v/>
      </c>
      <c r="M103" s="22">
        <f>IF($E103="","",IF(N(K103)+N(L103)=0,Parametros!$C$5,N(K103)/(N(K103)+N(L103))))</f>
        <v/>
      </c>
      <c r="N103" s="18">
        <f>IF($E103="","",J103*Parametros!$B$11+IF(G103=Parametros!$B$16,J103*Parametros!$B$12,0))</f>
        <v/>
      </c>
      <c r="O103" s="18">
        <f>IF($E103="","",IF(G103=Parametros!$B$5,J103*Parametros!$B$12,0))</f>
        <v/>
      </c>
      <c r="P103" s="18">
        <f>IF($E103="","",IF(G103=Parametros!$B$6,J103*Parametros!$B$12,0))</f>
        <v/>
      </c>
      <c r="Q103" s="18">
        <f>IF($E103="","",IF(H103=Parametros!$B$5,J103*Parametros!$B$13,IF(H103=Parametros!$B$6,0,J103*Parametros!$B$13*Parametros!$C$5)))</f>
        <v/>
      </c>
      <c r="R103" s="18">
        <f>IF($E103="","",IF(H103=Parametros!$B$6,J103*Parametros!$B$13,IF(H103=Parametros!$B$5,0,J103*Parametros!$B$13*Parametros!$C$6)))</f>
        <v/>
      </c>
      <c r="S103" s="18">
        <f>IF($E103="","",J103*Parametros!$B$14*M103)</f>
        <v/>
      </c>
      <c r="T103" s="18">
        <f>IF($E103="","",J103*Parametros!$B$14*(1-M103))</f>
        <v/>
      </c>
      <c r="U103" s="18">
        <f>IF($E103="","",O103+Q103+S103)</f>
        <v/>
      </c>
      <c r="V103" s="18">
        <f>IF($E103="","",P103+R103+T103)</f>
        <v/>
      </c>
      <c r="W103" s="18">
        <f>IF($E103="","",ROUND(J103-N103-U103-V103,2))</f>
        <v/>
      </c>
    </row>
    <row r="104">
      <c r="A104" s="10" t="n"/>
      <c r="B104" s="10" t="n"/>
      <c r="C104" s="10" t="n"/>
      <c r="D104" s="28" t="n"/>
      <c r="E104" s="30" t="n"/>
      <c r="F104" s="30" t="n"/>
      <c r="G104" s="10" t="n"/>
      <c r="H104" s="10" t="n"/>
      <c r="I104" s="10" t="n"/>
      <c r="J104" s="18">
        <f>IF($E104="","",E104-F104)</f>
        <v/>
      </c>
      <c r="K104" s="31">
        <f>IF($A104="","",SUMIFS(Horas!$D:$D,Horas!$B:$B,$A104,Horas!$C:$C,Parametros!$B$5))</f>
        <v/>
      </c>
      <c r="L104" s="31">
        <f>IF($A104="","",SUMIFS(Horas!$D:$D,Horas!$B:$B,$A104,Horas!$C:$C,Parametros!$B$6))</f>
        <v/>
      </c>
      <c r="M104" s="22">
        <f>IF($E104="","",IF(N(K104)+N(L104)=0,Parametros!$C$5,N(K104)/(N(K104)+N(L104))))</f>
        <v/>
      </c>
      <c r="N104" s="18">
        <f>IF($E104="","",J104*Parametros!$B$11+IF(G104=Parametros!$B$16,J104*Parametros!$B$12,0))</f>
        <v/>
      </c>
      <c r="O104" s="18">
        <f>IF($E104="","",IF(G104=Parametros!$B$5,J104*Parametros!$B$12,0))</f>
        <v/>
      </c>
      <c r="P104" s="18">
        <f>IF($E104="","",IF(G104=Parametros!$B$6,J104*Parametros!$B$12,0))</f>
        <v/>
      </c>
      <c r="Q104" s="18">
        <f>IF($E104="","",IF(H104=Parametros!$B$5,J104*Parametros!$B$13,IF(H104=Parametros!$B$6,0,J104*Parametros!$B$13*Parametros!$C$5)))</f>
        <v/>
      </c>
      <c r="R104" s="18">
        <f>IF($E104="","",IF(H104=Parametros!$B$6,J104*Parametros!$B$13,IF(H104=Parametros!$B$5,0,J104*Parametros!$B$13*Parametros!$C$6)))</f>
        <v/>
      </c>
      <c r="S104" s="18">
        <f>IF($E104="","",J104*Parametros!$B$14*M104)</f>
        <v/>
      </c>
      <c r="T104" s="18">
        <f>IF($E104="","",J104*Parametros!$B$14*(1-M104))</f>
        <v/>
      </c>
      <c r="U104" s="18">
        <f>IF($E104="","",O104+Q104+S104)</f>
        <v/>
      </c>
      <c r="V104" s="18">
        <f>IF($E104="","",P104+R104+T104)</f>
        <v/>
      </c>
      <c r="W104" s="18">
        <f>IF($E104="","",ROUND(J104-N104-U104-V104,2))</f>
        <v/>
      </c>
    </row>
    <row r="105">
      <c r="A105" s="10" t="n"/>
      <c r="B105" s="10" t="n"/>
      <c r="C105" s="10" t="n"/>
      <c r="D105" s="28" t="n"/>
      <c r="E105" s="30" t="n"/>
      <c r="F105" s="30" t="n"/>
      <c r="G105" s="10" t="n"/>
      <c r="H105" s="10" t="n"/>
      <c r="I105" s="10" t="n"/>
      <c r="J105" s="18">
        <f>IF($E105="","",E105-F105)</f>
        <v/>
      </c>
      <c r="K105" s="31">
        <f>IF($A105="","",SUMIFS(Horas!$D:$D,Horas!$B:$B,$A105,Horas!$C:$C,Parametros!$B$5))</f>
        <v/>
      </c>
      <c r="L105" s="31">
        <f>IF($A105="","",SUMIFS(Horas!$D:$D,Horas!$B:$B,$A105,Horas!$C:$C,Parametros!$B$6))</f>
        <v/>
      </c>
      <c r="M105" s="22">
        <f>IF($E105="","",IF(N(K105)+N(L105)=0,Parametros!$C$5,N(K105)/(N(K105)+N(L105))))</f>
        <v/>
      </c>
      <c r="N105" s="18">
        <f>IF($E105="","",J105*Parametros!$B$11+IF(G105=Parametros!$B$16,J105*Parametros!$B$12,0))</f>
        <v/>
      </c>
      <c r="O105" s="18">
        <f>IF($E105="","",IF(G105=Parametros!$B$5,J105*Parametros!$B$12,0))</f>
        <v/>
      </c>
      <c r="P105" s="18">
        <f>IF($E105="","",IF(G105=Parametros!$B$6,J105*Parametros!$B$12,0))</f>
        <v/>
      </c>
      <c r="Q105" s="18">
        <f>IF($E105="","",IF(H105=Parametros!$B$5,J105*Parametros!$B$13,IF(H105=Parametros!$B$6,0,J105*Parametros!$B$13*Parametros!$C$5)))</f>
        <v/>
      </c>
      <c r="R105" s="18">
        <f>IF($E105="","",IF(H105=Parametros!$B$6,J105*Parametros!$B$13,IF(H105=Parametros!$B$5,0,J105*Parametros!$B$13*Parametros!$C$6)))</f>
        <v/>
      </c>
      <c r="S105" s="18">
        <f>IF($E105="","",J105*Parametros!$B$14*M105)</f>
        <v/>
      </c>
      <c r="T105" s="18">
        <f>IF($E105="","",J105*Parametros!$B$14*(1-M105))</f>
        <v/>
      </c>
      <c r="U105" s="18">
        <f>IF($E105="","",O105+Q105+S105)</f>
        <v/>
      </c>
      <c r="V105" s="18">
        <f>IF($E105="","",P105+R105+T105)</f>
        <v/>
      </c>
      <c r="W105" s="18">
        <f>IF($E105="","",ROUND(J105-N105-U105-V105,2))</f>
        <v/>
      </c>
    </row>
    <row r="106">
      <c r="A106" s="10" t="n"/>
      <c r="B106" s="10" t="n"/>
      <c r="C106" s="10" t="n"/>
      <c r="D106" s="28" t="n"/>
      <c r="E106" s="30" t="n"/>
      <c r="F106" s="30" t="n"/>
      <c r="G106" s="10" t="n"/>
      <c r="H106" s="10" t="n"/>
      <c r="I106" s="10" t="n"/>
      <c r="J106" s="18">
        <f>IF($E106="","",E106-F106)</f>
        <v/>
      </c>
      <c r="K106" s="31">
        <f>IF($A106="","",SUMIFS(Horas!$D:$D,Horas!$B:$B,$A106,Horas!$C:$C,Parametros!$B$5))</f>
        <v/>
      </c>
      <c r="L106" s="31">
        <f>IF($A106="","",SUMIFS(Horas!$D:$D,Horas!$B:$B,$A106,Horas!$C:$C,Parametros!$B$6))</f>
        <v/>
      </c>
      <c r="M106" s="22">
        <f>IF($E106="","",IF(N(K106)+N(L106)=0,Parametros!$C$5,N(K106)/(N(K106)+N(L106))))</f>
        <v/>
      </c>
      <c r="N106" s="18">
        <f>IF($E106="","",J106*Parametros!$B$11+IF(G106=Parametros!$B$16,J106*Parametros!$B$12,0))</f>
        <v/>
      </c>
      <c r="O106" s="18">
        <f>IF($E106="","",IF(G106=Parametros!$B$5,J106*Parametros!$B$12,0))</f>
        <v/>
      </c>
      <c r="P106" s="18">
        <f>IF($E106="","",IF(G106=Parametros!$B$6,J106*Parametros!$B$12,0))</f>
        <v/>
      </c>
      <c r="Q106" s="18">
        <f>IF($E106="","",IF(H106=Parametros!$B$5,J106*Parametros!$B$13,IF(H106=Parametros!$B$6,0,J106*Parametros!$B$13*Parametros!$C$5)))</f>
        <v/>
      </c>
      <c r="R106" s="18">
        <f>IF($E106="","",IF(H106=Parametros!$B$6,J106*Parametros!$B$13,IF(H106=Parametros!$B$5,0,J106*Parametros!$B$13*Parametros!$C$6)))</f>
        <v/>
      </c>
      <c r="S106" s="18">
        <f>IF($E106="","",J106*Parametros!$B$14*M106)</f>
        <v/>
      </c>
      <c r="T106" s="18">
        <f>IF($E106="","",J106*Parametros!$B$14*(1-M106))</f>
        <v/>
      </c>
      <c r="U106" s="18">
        <f>IF($E106="","",O106+Q106+S106)</f>
        <v/>
      </c>
      <c r="V106" s="18">
        <f>IF($E106="","",P106+R106+T106)</f>
        <v/>
      </c>
      <c r="W106" s="18">
        <f>IF($E106="","",ROUND(J106-N106-U106-V106,2))</f>
        <v/>
      </c>
    </row>
    <row r="107">
      <c r="A107" s="10" t="n"/>
      <c r="B107" s="10" t="n"/>
      <c r="C107" s="10" t="n"/>
      <c r="D107" s="28" t="n"/>
      <c r="E107" s="30" t="n"/>
      <c r="F107" s="30" t="n"/>
      <c r="G107" s="10" t="n"/>
      <c r="H107" s="10" t="n"/>
      <c r="I107" s="10" t="n"/>
      <c r="J107" s="18">
        <f>IF($E107="","",E107-F107)</f>
        <v/>
      </c>
      <c r="K107" s="31">
        <f>IF($A107="","",SUMIFS(Horas!$D:$D,Horas!$B:$B,$A107,Horas!$C:$C,Parametros!$B$5))</f>
        <v/>
      </c>
      <c r="L107" s="31">
        <f>IF($A107="","",SUMIFS(Horas!$D:$D,Horas!$B:$B,$A107,Horas!$C:$C,Parametros!$B$6))</f>
        <v/>
      </c>
      <c r="M107" s="22">
        <f>IF($E107="","",IF(N(K107)+N(L107)=0,Parametros!$C$5,N(K107)/(N(K107)+N(L107))))</f>
        <v/>
      </c>
      <c r="N107" s="18">
        <f>IF($E107="","",J107*Parametros!$B$11+IF(G107=Parametros!$B$16,J107*Parametros!$B$12,0))</f>
        <v/>
      </c>
      <c r="O107" s="18">
        <f>IF($E107="","",IF(G107=Parametros!$B$5,J107*Parametros!$B$12,0))</f>
        <v/>
      </c>
      <c r="P107" s="18">
        <f>IF($E107="","",IF(G107=Parametros!$B$6,J107*Parametros!$B$12,0))</f>
        <v/>
      </c>
      <c r="Q107" s="18">
        <f>IF($E107="","",IF(H107=Parametros!$B$5,J107*Parametros!$B$13,IF(H107=Parametros!$B$6,0,J107*Parametros!$B$13*Parametros!$C$5)))</f>
        <v/>
      </c>
      <c r="R107" s="18">
        <f>IF($E107="","",IF(H107=Parametros!$B$6,J107*Parametros!$B$13,IF(H107=Parametros!$B$5,0,J107*Parametros!$B$13*Parametros!$C$6)))</f>
        <v/>
      </c>
      <c r="S107" s="18">
        <f>IF($E107="","",J107*Parametros!$B$14*M107)</f>
        <v/>
      </c>
      <c r="T107" s="18">
        <f>IF($E107="","",J107*Parametros!$B$14*(1-M107))</f>
        <v/>
      </c>
      <c r="U107" s="18">
        <f>IF($E107="","",O107+Q107+S107)</f>
        <v/>
      </c>
      <c r="V107" s="18">
        <f>IF($E107="","",P107+R107+T107)</f>
        <v/>
      </c>
      <c r="W107" s="18">
        <f>IF($E107="","",ROUND(J107-N107-U107-V107,2))</f>
        <v/>
      </c>
    </row>
    <row r="108">
      <c r="A108" s="10" t="n"/>
      <c r="B108" s="10" t="n"/>
      <c r="C108" s="10" t="n"/>
      <c r="D108" s="28" t="n"/>
      <c r="E108" s="30" t="n"/>
      <c r="F108" s="30" t="n"/>
      <c r="G108" s="10" t="n"/>
      <c r="H108" s="10" t="n"/>
      <c r="I108" s="10" t="n"/>
      <c r="J108" s="18">
        <f>IF($E108="","",E108-F108)</f>
        <v/>
      </c>
      <c r="K108" s="31">
        <f>IF($A108="","",SUMIFS(Horas!$D:$D,Horas!$B:$B,$A108,Horas!$C:$C,Parametros!$B$5))</f>
        <v/>
      </c>
      <c r="L108" s="31">
        <f>IF($A108="","",SUMIFS(Horas!$D:$D,Horas!$B:$B,$A108,Horas!$C:$C,Parametros!$B$6))</f>
        <v/>
      </c>
      <c r="M108" s="22">
        <f>IF($E108="","",IF(N(K108)+N(L108)=0,Parametros!$C$5,N(K108)/(N(K108)+N(L108))))</f>
        <v/>
      </c>
      <c r="N108" s="18">
        <f>IF($E108="","",J108*Parametros!$B$11+IF(G108=Parametros!$B$16,J108*Parametros!$B$12,0))</f>
        <v/>
      </c>
      <c r="O108" s="18">
        <f>IF($E108="","",IF(G108=Parametros!$B$5,J108*Parametros!$B$12,0))</f>
        <v/>
      </c>
      <c r="P108" s="18">
        <f>IF($E108="","",IF(G108=Parametros!$B$6,J108*Parametros!$B$12,0))</f>
        <v/>
      </c>
      <c r="Q108" s="18">
        <f>IF($E108="","",IF(H108=Parametros!$B$5,J108*Parametros!$B$13,IF(H108=Parametros!$B$6,0,J108*Parametros!$B$13*Parametros!$C$5)))</f>
        <v/>
      </c>
      <c r="R108" s="18">
        <f>IF($E108="","",IF(H108=Parametros!$B$6,J108*Parametros!$B$13,IF(H108=Parametros!$B$5,0,J108*Parametros!$B$13*Parametros!$C$6)))</f>
        <v/>
      </c>
      <c r="S108" s="18">
        <f>IF($E108="","",J108*Parametros!$B$14*M108)</f>
        <v/>
      </c>
      <c r="T108" s="18">
        <f>IF($E108="","",J108*Parametros!$B$14*(1-M108))</f>
        <v/>
      </c>
      <c r="U108" s="18">
        <f>IF($E108="","",O108+Q108+S108)</f>
        <v/>
      </c>
      <c r="V108" s="18">
        <f>IF($E108="","",P108+R108+T108)</f>
        <v/>
      </c>
      <c r="W108" s="18">
        <f>IF($E108="","",ROUND(J108-N108-U108-V108,2))</f>
        <v/>
      </c>
    </row>
    <row r="109">
      <c r="A109" s="10" t="n"/>
      <c r="B109" s="10" t="n"/>
      <c r="C109" s="10" t="n"/>
      <c r="D109" s="28" t="n"/>
      <c r="E109" s="30" t="n"/>
      <c r="F109" s="30" t="n"/>
      <c r="G109" s="10" t="n"/>
      <c r="H109" s="10" t="n"/>
      <c r="I109" s="10" t="n"/>
      <c r="J109" s="18">
        <f>IF($E109="","",E109-F109)</f>
        <v/>
      </c>
      <c r="K109" s="31">
        <f>IF($A109="","",SUMIFS(Horas!$D:$D,Horas!$B:$B,$A109,Horas!$C:$C,Parametros!$B$5))</f>
        <v/>
      </c>
      <c r="L109" s="31">
        <f>IF($A109="","",SUMIFS(Horas!$D:$D,Horas!$B:$B,$A109,Horas!$C:$C,Parametros!$B$6))</f>
        <v/>
      </c>
      <c r="M109" s="22">
        <f>IF($E109="","",IF(N(K109)+N(L109)=0,Parametros!$C$5,N(K109)/(N(K109)+N(L109))))</f>
        <v/>
      </c>
      <c r="N109" s="18">
        <f>IF($E109="","",J109*Parametros!$B$11+IF(G109=Parametros!$B$16,J109*Parametros!$B$12,0))</f>
        <v/>
      </c>
      <c r="O109" s="18">
        <f>IF($E109="","",IF(G109=Parametros!$B$5,J109*Parametros!$B$12,0))</f>
        <v/>
      </c>
      <c r="P109" s="18">
        <f>IF($E109="","",IF(G109=Parametros!$B$6,J109*Parametros!$B$12,0))</f>
        <v/>
      </c>
      <c r="Q109" s="18">
        <f>IF($E109="","",IF(H109=Parametros!$B$5,J109*Parametros!$B$13,IF(H109=Parametros!$B$6,0,J109*Parametros!$B$13*Parametros!$C$5)))</f>
        <v/>
      </c>
      <c r="R109" s="18">
        <f>IF($E109="","",IF(H109=Parametros!$B$6,J109*Parametros!$B$13,IF(H109=Parametros!$B$5,0,J109*Parametros!$B$13*Parametros!$C$6)))</f>
        <v/>
      </c>
      <c r="S109" s="18">
        <f>IF($E109="","",J109*Parametros!$B$14*M109)</f>
        <v/>
      </c>
      <c r="T109" s="18">
        <f>IF($E109="","",J109*Parametros!$B$14*(1-M109))</f>
        <v/>
      </c>
      <c r="U109" s="18">
        <f>IF($E109="","",O109+Q109+S109)</f>
        <v/>
      </c>
      <c r="V109" s="18">
        <f>IF($E109="","",P109+R109+T109)</f>
        <v/>
      </c>
      <c r="W109" s="18">
        <f>IF($E109="","",ROUND(J109-N109-U109-V109,2))</f>
        <v/>
      </c>
    </row>
    <row r="110">
      <c r="A110" s="10" t="n"/>
      <c r="B110" s="10" t="n"/>
      <c r="C110" s="10" t="n"/>
      <c r="D110" s="28" t="n"/>
      <c r="E110" s="30" t="n"/>
      <c r="F110" s="30" t="n"/>
      <c r="G110" s="10" t="n"/>
      <c r="H110" s="10" t="n"/>
      <c r="I110" s="10" t="n"/>
      <c r="J110" s="18">
        <f>IF($E110="","",E110-F110)</f>
        <v/>
      </c>
      <c r="K110" s="31">
        <f>IF($A110="","",SUMIFS(Horas!$D:$D,Horas!$B:$B,$A110,Horas!$C:$C,Parametros!$B$5))</f>
        <v/>
      </c>
      <c r="L110" s="31">
        <f>IF($A110="","",SUMIFS(Horas!$D:$D,Horas!$B:$B,$A110,Horas!$C:$C,Parametros!$B$6))</f>
        <v/>
      </c>
      <c r="M110" s="22">
        <f>IF($E110="","",IF(N(K110)+N(L110)=0,Parametros!$C$5,N(K110)/(N(K110)+N(L110))))</f>
        <v/>
      </c>
      <c r="N110" s="18">
        <f>IF($E110="","",J110*Parametros!$B$11+IF(G110=Parametros!$B$16,J110*Parametros!$B$12,0))</f>
        <v/>
      </c>
      <c r="O110" s="18">
        <f>IF($E110="","",IF(G110=Parametros!$B$5,J110*Parametros!$B$12,0))</f>
        <v/>
      </c>
      <c r="P110" s="18">
        <f>IF($E110="","",IF(G110=Parametros!$B$6,J110*Parametros!$B$12,0))</f>
        <v/>
      </c>
      <c r="Q110" s="18">
        <f>IF($E110="","",IF(H110=Parametros!$B$5,J110*Parametros!$B$13,IF(H110=Parametros!$B$6,0,J110*Parametros!$B$13*Parametros!$C$5)))</f>
        <v/>
      </c>
      <c r="R110" s="18">
        <f>IF($E110="","",IF(H110=Parametros!$B$6,J110*Parametros!$B$13,IF(H110=Parametros!$B$5,0,J110*Parametros!$B$13*Parametros!$C$6)))</f>
        <v/>
      </c>
      <c r="S110" s="18">
        <f>IF($E110="","",J110*Parametros!$B$14*M110)</f>
        <v/>
      </c>
      <c r="T110" s="18">
        <f>IF($E110="","",J110*Parametros!$B$14*(1-M110))</f>
        <v/>
      </c>
      <c r="U110" s="18">
        <f>IF($E110="","",O110+Q110+S110)</f>
        <v/>
      </c>
      <c r="V110" s="18">
        <f>IF($E110="","",P110+R110+T110)</f>
        <v/>
      </c>
      <c r="W110" s="18">
        <f>IF($E110="","",ROUND(J110-N110-U110-V110,2))</f>
        <v/>
      </c>
    </row>
    <row r="111">
      <c r="A111" s="10" t="n"/>
      <c r="B111" s="10" t="n"/>
      <c r="C111" s="10" t="n"/>
      <c r="D111" s="28" t="n"/>
      <c r="E111" s="30" t="n"/>
      <c r="F111" s="30" t="n"/>
      <c r="G111" s="10" t="n"/>
      <c r="H111" s="10" t="n"/>
      <c r="I111" s="10" t="n"/>
      <c r="J111" s="18">
        <f>IF($E111="","",E111-F111)</f>
        <v/>
      </c>
      <c r="K111" s="31">
        <f>IF($A111="","",SUMIFS(Horas!$D:$D,Horas!$B:$B,$A111,Horas!$C:$C,Parametros!$B$5))</f>
        <v/>
      </c>
      <c r="L111" s="31">
        <f>IF($A111="","",SUMIFS(Horas!$D:$D,Horas!$B:$B,$A111,Horas!$C:$C,Parametros!$B$6))</f>
        <v/>
      </c>
      <c r="M111" s="22">
        <f>IF($E111="","",IF(N(K111)+N(L111)=0,Parametros!$C$5,N(K111)/(N(K111)+N(L111))))</f>
        <v/>
      </c>
      <c r="N111" s="18">
        <f>IF($E111="","",J111*Parametros!$B$11+IF(G111=Parametros!$B$16,J111*Parametros!$B$12,0))</f>
        <v/>
      </c>
      <c r="O111" s="18">
        <f>IF($E111="","",IF(G111=Parametros!$B$5,J111*Parametros!$B$12,0))</f>
        <v/>
      </c>
      <c r="P111" s="18">
        <f>IF($E111="","",IF(G111=Parametros!$B$6,J111*Parametros!$B$12,0))</f>
        <v/>
      </c>
      <c r="Q111" s="18">
        <f>IF($E111="","",IF(H111=Parametros!$B$5,J111*Parametros!$B$13,IF(H111=Parametros!$B$6,0,J111*Parametros!$B$13*Parametros!$C$5)))</f>
        <v/>
      </c>
      <c r="R111" s="18">
        <f>IF($E111="","",IF(H111=Parametros!$B$6,J111*Parametros!$B$13,IF(H111=Parametros!$B$5,0,J111*Parametros!$B$13*Parametros!$C$6)))</f>
        <v/>
      </c>
      <c r="S111" s="18">
        <f>IF($E111="","",J111*Parametros!$B$14*M111)</f>
        <v/>
      </c>
      <c r="T111" s="18">
        <f>IF($E111="","",J111*Parametros!$B$14*(1-M111))</f>
        <v/>
      </c>
      <c r="U111" s="18">
        <f>IF($E111="","",O111+Q111+S111)</f>
        <v/>
      </c>
      <c r="V111" s="18">
        <f>IF($E111="","",P111+R111+T111)</f>
        <v/>
      </c>
      <c r="W111" s="18">
        <f>IF($E111="","",ROUND(J111-N111-U111-V111,2))</f>
        <v/>
      </c>
    </row>
    <row r="112">
      <c r="A112" s="10" t="n"/>
      <c r="B112" s="10" t="n"/>
      <c r="C112" s="10" t="n"/>
      <c r="D112" s="28" t="n"/>
      <c r="E112" s="30" t="n"/>
      <c r="F112" s="30" t="n"/>
      <c r="G112" s="10" t="n"/>
      <c r="H112" s="10" t="n"/>
      <c r="I112" s="10" t="n"/>
      <c r="J112" s="18">
        <f>IF($E112="","",E112-F112)</f>
        <v/>
      </c>
      <c r="K112" s="31">
        <f>IF($A112="","",SUMIFS(Horas!$D:$D,Horas!$B:$B,$A112,Horas!$C:$C,Parametros!$B$5))</f>
        <v/>
      </c>
      <c r="L112" s="31">
        <f>IF($A112="","",SUMIFS(Horas!$D:$D,Horas!$B:$B,$A112,Horas!$C:$C,Parametros!$B$6))</f>
        <v/>
      </c>
      <c r="M112" s="22">
        <f>IF($E112="","",IF(N(K112)+N(L112)=0,Parametros!$C$5,N(K112)/(N(K112)+N(L112))))</f>
        <v/>
      </c>
      <c r="N112" s="18">
        <f>IF($E112="","",J112*Parametros!$B$11+IF(G112=Parametros!$B$16,J112*Parametros!$B$12,0))</f>
        <v/>
      </c>
      <c r="O112" s="18">
        <f>IF($E112="","",IF(G112=Parametros!$B$5,J112*Parametros!$B$12,0))</f>
        <v/>
      </c>
      <c r="P112" s="18">
        <f>IF($E112="","",IF(G112=Parametros!$B$6,J112*Parametros!$B$12,0))</f>
        <v/>
      </c>
      <c r="Q112" s="18">
        <f>IF($E112="","",IF(H112=Parametros!$B$5,J112*Parametros!$B$13,IF(H112=Parametros!$B$6,0,J112*Parametros!$B$13*Parametros!$C$5)))</f>
        <v/>
      </c>
      <c r="R112" s="18">
        <f>IF($E112="","",IF(H112=Parametros!$B$6,J112*Parametros!$B$13,IF(H112=Parametros!$B$5,0,J112*Parametros!$B$13*Parametros!$C$6)))</f>
        <v/>
      </c>
      <c r="S112" s="18">
        <f>IF($E112="","",J112*Parametros!$B$14*M112)</f>
        <v/>
      </c>
      <c r="T112" s="18">
        <f>IF($E112="","",J112*Parametros!$B$14*(1-M112))</f>
        <v/>
      </c>
      <c r="U112" s="18">
        <f>IF($E112="","",O112+Q112+S112)</f>
        <v/>
      </c>
      <c r="V112" s="18">
        <f>IF($E112="","",P112+R112+T112)</f>
        <v/>
      </c>
      <c r="W112" s="18">
        <f>IF($E112="","",ROUND(J112-N112-U112-V112,2))</f>
        <v/>
      </c>
    </row>
    <row r="113">
      <c r="A113" s="10" t="n"/>
      <c r="B113" s="10" t="n"/>
      <c r="C113" s="10" t="n"/>
      <c r="D113" s="28" t="n"/>
      <c r="E113" s="30" t="n"/>
      <c r="F113" s="30" t="n"/>
      <c r="G113" s="10" t="n"/>
      <c r="H113" s="10" t="n"/>
      <c r="I113" s="10" t="n"/>
      <c r="J113" s="18">
        <f>IF($E113="","",E113-F113)</f>
        <v/>
      </c>
      <c r="K113" s="31">
        <f>IF($A113="","",SUMIFS(Horas!$D:$D,Horas!$B:$B,$A113,Horas!$C:$C,Parametros!$B$5))</f>
        <v/>
      </c>
      <c r="L113" s="31">
        <f>IF($A113="","",SUMIFS(Horas!$D:$D,Horas!$B:$B,$A113,Horas!$C:$C,Parametros!$B$6))</f>
        <v/>
      </c>
      <c r="M113" s="22">
        <f>IF($E113="","",IF(N(K113)+N(L113)=0,Parametros!$C$5,N(K113)/(N(K113)+N(L113))))</f>
        <v/>
      </c>
      <c r="N113" s="18">
        <f>IF($E113="","",J113*Parametros!$B$11+IF(G113=Parametros!$B$16,J113*Parametros!$B$12,0))</f>
        <v/>
      </c>
      <c r="O113" s="18">
        <f>IF($E113="","",IF(G113=Parametros!$B$5,J113*Parametros!$B$12,0))</f>
        <v/>
      </c>
      <c r="P113" s="18">
        <f>IF($E113="","",IF(G113=Parametros!$B$6,J113*Parametros!$B$12,0))</f>
        <v/>
      </c>
      <c r="Q113" s="18">
        <f>IF($E113="","",IF(H113=Parametros!$B$5,J113*Parametros!$B$13,IF(H113=Parametros!$B$6,0,J113*Parametros!$B$13*Parametros!$C$5)))</f>
        <v/>
      </c>
      <c r="R113" s="18">
        <f>IF($E113="","",IF(H113=Parametros!$B$6,J113*Parametros!$B$13,IF(H113=Parametros!$B$5,0,J113*Parametros!$B$13*Parametros!$C$6)))</f>
        <v/>
      </c>
      <c r="S113" s="18">
        <f>IF($E113="","",J113*Parametros!$B$14*M113)</f>
        <v/>
      </c>
      <c r="T113" s="18">
        <f>IF($E113="","",J113*Parametros!$B$14*(1-M113))</f>
        <v/>
      </c>
      <c r="U113" s="18">
        <f>IF($E113="","",O113+Q113+S113)</f>
        <v/>
      </c>
      <c r="V113" s="18">
        <f>IF($E113="","",P113+R113+T113)</f>
        <v/>
      </c>
      <c r="W113" s="18">
        <f>IF($E113="","",ROUND(J113-N113-U113-V113,2))</f>
        <v/>
      </c>
    </row>
    <row r="114">
      <c r="A114" s="10" t="n"/>
      <c r="B114" s="10" t="n"/>
      <c r="C114" s="10" t="n"/>
      <c r="D114" s="28" t="n"/>
      <c r="E114" s="30" t="n"/>
      <c r="F114" s="30" t="n"/>
      <c r="G114" s="10" t="n"/>
      <c r="H114" s="10" t="n"/>
      <c r="I114" s="10" t="n"/>
      <c r="J114" s="18">
        <f>IF($E114="","",E114-F114)</f>
        <v/>
      </c>
      <c r="K114" s="31">
        <f>IF($A114="","",SUMIFS(Horas!$D:$D,Horas!$B:$B,$A114,Horas!$C:$C,Parametros!$B$5))</f>
        <v/>
      </c>
      <c r="L114" s="31">
        <f>IF($A114="","",SUMIFS(Horas!$D:$D,Horas!$B:$B,$A114,Horas!$C:$C,Parametros!$B$6))</f>
        <v/>
      </c>
      <c r="M114" s="22">
        <f>IF($E114="","",IF(N(K114)+N(L114)=0,Parametros!$C$5,N(K114)/(N(K114)+N(L114))))</f>
        <v/>
      </c>
      <c r="N114" s="18">
        <f>IF($E114="","",J114*Parametros!$B$11+IF(G114=Parametros!$B$16,J114*Parametros!$B$12,0))</f>
        <v/>
      </c>
      <c r="O114" s="18">
        <f>IF($E114="","",IF(G114=Parametros!$B$5,J114*Parametros!$B$12,0))</f>
        <v/>
      </c>
      <c r="P114" s="18">
        <f>IF($E114="","",IF(G114=Parametros!$B$6,J114*Parametros!$B$12,0))</f>
        <v/>
      </c>
      <c r="Q114" s="18">
        <f>IF($E114="","",IF(H114=Parametros!$B$5,J114*Parametros!$B$13,IF(H114=Parametros!$B$6,0,J114*Parametros!$B$13*Parametros!$C$5)))</f>
        <v/>
      </c>
      <c r="R114" s="18">
        <f>IF($E114="","",IF(H114=Parametros!$B$6,J114*Parametros!$B$13,IF(H114=Parametros!$B$5,0,J114*Parametros!$B$13*Parametros!$C$6)))</f>
        <v/>
      </c>
      <c r="S114" s="18">
        <f>IF($E114="","",J114*Parametros!$B$14*M114)</f>
        <v/>
      </c>
      <c r="T114" s="18">
        <f>IF($E114="","",J114*Parametros!$B$14*(1-M114))</f>
        <v/>
      </c>
      <c r="U114" s="18">
        <f>IF($E114="","",O114+Q114+S114)</f>
        <v/>
      </c>
      <c r="V114" s="18">
        <f>IF($E114="","",P114+R114+T114)</f>
        <v/>
      </c>
      <c r="W114" s="18">
        <f>IF($E114="","",ROUND(J114-N114-U114-V114,2))</f>
        <v/>
      </c>
    </row>
    <row r="115">
      <c r="A115" s="10" t="n"/>
      <c r="B115" s="10" t="n"/>
      <c r="C115" s="10" t="n"/>
      <c r="D115" s="28" t="n"/>
      <c r="E115" s="30" t="n"/>
      <c r="F115" s="30" t="n"/>
      <c r="G115" s="10" t="n"/>
      <c r="H115" s="10" t="n"/>
      <c r="I115" s="10" t="n"/>
      <c r="J115" s="18">
        <f>IF($E115="","",E115-F115)</f>
        <v/>
      </c>
      <c r="K115" s="31">
        <f>IF($A115="","",SUMIFS(Horas!$D:$D,Horas!$B:$B,$A115,Horas!$C:$C,Parametros!$B$5))</f>
        <v/>
      </c>
      <c r="L115" s="31">
        <f>IF($A115="","",SUMIFS(Horas!$D:$D,Horas!$B:$B,$A115,Horas!$C:$C,Parametros!$B$6))</f>
        <v/>
      </c>
      <c r="M115" s="22">
        <f>IF($E115="","",IF(N(K115)+N(L115)=0,Parametros!$C$5,N(K115)/(N(K115)+N(L115))))</f>
        <v/>
      </c>
      <c r="N115" s="18">
        <f>IF($E115="","",J115*Parametros!$B$11+IF(G115=Parametros!$B$16,J115*Parametros!$B$12,0))</f>
        <v/>
      </c>
      <c r="O115" s="18">
        <f>IF($E115="","",IF(G115=Parametros!$B$5,J115*Parametros!$B$12,0))</f>
        <v/>
      </c>
      <c r="P115" s="18">
        <f>IF($E115="","",IF(G115=Parametros!$B$6,J115*Parametros!$B$12,0))</f>
        <v/>
      </c>
      <c r="Q115" s="18">
        <f>IF($E115="","",IF(H115=Parametros!$B$5,J115*Parametros!$B$13,IF(H115=Parametros!$B$6,0,J115*Parametros!$B$13*Parametros!$C$5)))</f>
        <v/>
      </c>
      <c r="R115" s="18">
        <f>IF($E115="","",IF(H115=Parametros!$B$6,J115*Parametros!$B$13,IF(H115=Parametros!$B$5,0,J115*Parametros!$B$13*Parametros!$C$6)))</f>
        <v/>
      </c>
      <c r="S115" s="18">
        <f>IF($E115="","",J115*Parametros!$B$14*M115)</f>
        <v/>
      </c>
      <c r="T115" s="18">
        <f>IF($E115="","",J115*Parametros!$B$14*(1-M115))</f>
        <v/>
      </c>
      <c r="U115" s="18">
        <f>IF($E115="","",O115+Q115+S115)</f>
        <v/>
      </c>
      <c r="V115" s="18">
        <f>IF($E115="","",P115+R115+T115)</f>
        <v/>
      </c>
      <c r="W115" s="18">
        <f>IF($E115="","",ROUND(J115-N115-U115-V115,2))</f>
        <v/>
      </c>
    </row>
    <row r="116">
      <c r="A116" s="10" t="n"/>
      <c r="B116" s="10" t="n"/>
      <c r="C116" s="10" t="n"/>
      <c r="D116" s="28" t="n"/>
      <c r="E116" s="30" t="n"/>
      <c r="F116" s="30" t="n"/>
      <c r="G116" s="10" t="n"/>
      <c r="H116" s="10" t="n"/>
      <c r="I116" s="10" t="n"/>
      <c r="J116" s="18">
        <f>IF($E116="","",E116-F116)</f>
        <v/>
      </c>
      <c r="K116" s="31">
        <f>IF($A116="","",SUMIFS(Horas!$D:$D,Horas!$B:$B,$A116,Horas!$C:$C,Parametros!$B$5))</f>
        <v/>
      </c>
      <c r="L116" s="31">
        <f>IF($A116="","",SUMIFS(Horas!$D:$D,Horas!$B:$B,$A116,Horas!$C:$C,Parametros!$B$6))</f>
        <v/>
      </c>
      <c r="M116" s="22">
        <f>IF($E116="","",IF(N(K116)+N(L116)=0,Parametros!$C$5,N(K116)/(N(K116)+N(L116))))</f>
        <v/>
      </c>
      <c r="N116" s="18">
        <f>IF($E116="","",J116*Parametros!$B$11+IF(G116=Parametros!$B$16,J116*Parametros!$B$12,0))</f>
        <v/>
      </c>
      <c r="O116" s="18">
        <f>IF($E116="","",IF(G116=Parametros!$B$5,J116*Parametros!$B$12,0))</f>
        <v/>
      </c>
      <c r="P116" s="18">
        <f>IF($E116="","",IF(G116=Parametros!$B$6,J116*Parametros!$B$12,0))</f>
        <v/>
      </c>
      <c r="Q116" s="18">
        <f>IF($E116="","",IF(H116=Parametros!$B$5,J116*Parametros!$B$13,IF(H116=Parametros!$B$6,0,J116*Parametros!$B$13*Parametros!$C$5)))</f>
        <v/>
      </c>
      <c r="R116" s="18">
        <f>IF($E116="","",IF(H116=Parametros!$B$6,J116*Parametros!$B$13,IF(H116=Parametros!$B$5,0,J116*Parametros!$B$13*Parametros!$C$6)))</f>
        <v/>
      </c>
      <c r="S116" s="18">
        <f>IF($E116="","",J116*Parametros!$B$14*M116)</f>
        <v/>
      </c>
      <c r="T116" s="18">
        <f>IF($E116="","",J116*Parametros!$B$14*(1-M116))</f>
        <v/>
      </c>
      <c r="U116" s="18">
        <f>IF($E116="","",O116+Q116+S116)</f>
        <v/>
      </c>
      <c r="V116" s="18">
        <f>IF($E116="","",P116+R116+T116)</f>
        <v/>
      </c>
      <c r="W116" s="18">
        <f>IF($E116="","",ROUND(J116-N116-U116-V116,2))</f>
        <v/>
      </c>
    </row>
    <row r="117">
      <c r="A117" s="10" t="n"/>
      <c r="B117" s="10" t="n"/>
      <c r="C117" s="10" t="n"/>
      <c r="D117" s="28" t="n"/>
      <c r="E117" s="30" t="n"/>
      <c r="F117" s="30" t="n"/>
      <c r="G117" s="10" t="n"/>
      <c r="H117" s="10" t="n"/>
      <c r="I117" s="10" t="n"/>
      <c r="J117" s="18">
        <f>IF($E117="","",E117-F117)</f>
        <v/>
      </c>
      <c r="K117" s="31">
        <f>IF($A117="","",SUMIFS(Horas!$D:$D,Horas!$B:$B,$A117,Horas!$C:$C,Parametros!$B$5))</f>
        <v/>
      </c>
      <c r="L117" s="31">
        <f>IF($A117="","",SUMIFS(Horas!$D:$D,Horas!$B:$B,$A117,Horas!$C:$C,Parametros!$B$6))</f>
        <v/>
      </c>
      <c r="M117" s="22">
        <f>IF($E117="","",IF(N(K117)+N(L117)=0,Parametros!$C$5,N(K117)/(N(K117)+N(L117))))</f>
        <v/>
      </c>
      <c r="N117" s="18">
        <f>IF($E117="","",J117*Parametros!$B$11+IF(G117=Parametros!$B$16,J117*Parametros!$B$12,0))</f>
        <v/>
      </c>
      <c r="O117" s="18">
        <f>IF($E117="","",IF(G117=Parametros!$B$5,J117*Parametros!$B$12,0))</f>
        <v/>
      </c>
      <c r="P117" s="18">
        <f>IF($E117="","",IF(G117=Parametros!$B$6,J117*Parametros!$B$12,0))</f>
        <v/>
      </c>
      <c r="Q117" s="18">
        <f>IF($E117="","",IF(H117=Parametros!$B$5,J117*Parametros!$B$13,IF(H117=Parametros!$B$6,0,J117*Parametros!$B$13*Parametros!$C$5)))</f>
        <v/>
      </c>
      <c r="R117" s="18">
        <f>IF($E117="","",IF(H117=Parametros!$B$6,J117*Parametros!$B$13,IF(H117=Parametros!$B$5,0,J117*Parametros!$B$13*Parametros!$C$6)))</f>
        <v/>
      </c>
      <c r="S117" s="18">
        <f>IF($E117="","",J117*Parametros!$B$14*M117)</f>
        <v/>
      </c>
      <c r="T117" s="18">
        <f>IF($E117="","",J117*Parametros!$B$14*(1-M117))</f>
        <v/>
      </c>
      <c r="U117" s="18">
        <f>IF($E117="","",O117+Q117+S117)</f>
        <v/>
      </c>
      <c r="V117" s="18">
        <f>IF($E117="","",P117+R117+T117)</f>
        <v/>
      </c>
      <c r="W117" s="18">
        <f>IF($E117="","",ROUND(J117-N117-U117-V117,2))</f>
        <v/>
      </c>
    </row>
    <row r="118">
      <c r="A118" s="10" t="n"/>
      <c r="B118" s="10" t="n"/>
      <c r="C118" s="10" t="n"/>
      <c r="D118" s="28" t="n"/>
      <c r="E118" s="30" t="n"/>
      <c r="F118" s="30" t="n"/>
      <c r="G118" s="10" t="n"/>
      <c r="H118" s="10" t="n"/>
      <c r="I118" s="10" t="n"/>
      <c r="J118" s="18">
        <f>IF($E118="","",E118-F118)</f>
        <v/>
      </c>
      <c r="K118" s="31">
        <f>IF($A118="","",SUMIFS(Horas!$D:$D,Horas!$B:$B,$A118,Horas!$C:$C,Parametros!$B$5))</f>
        <v/>
      </c>
      <c r="L118" s="31">
        <f>IF($A118="","",SUMIFS(Horas!$D:$D,Horas!$B:$B,$A118,Horas!$C:$C,Parametros!$B$6))</f>
        <v/>
      </c>
      <c r="M118" s="22">
        <f>IF($E118="","",IF(N(K118)+N(L118)=0,Parametros!$C$5,N(K118)/(N(K118)+N(L118))))</f>
        <v/>
      </c>
      <c r="N118" s="18">
        <f>IF($E118="","",J118*Parametros!$B$11+IF(G118=Parametros!$B$16,J118*Parametros!$B$12,0))</f>
        <v/>
      </c>
      <c r="O118" s="18">
        <f>IF($E118="","",IF(G118=Parametros!$B$5,J118*Parametros!$B$12,0))</f>
        <v/>
      </c>
      <c r="P118" s="18">
        <f>IF($E118="","",IF(G118=Parametros!$B$6,J118*Parametros!$B$12,0))</f>
        <v/>
      </c>
      <c r="Q118" s="18">
        <f>IF($E118="","",IF(H118=Parametros!$B$5,J118*Parametros!$B$13,IF(H118=Parametros!$B$6,0,J118*Parametros!$B$13*Parametros!$C$5)))</f>
        <v/>
      </c>
      <c r="R118" s="18">
        <f>IF($E118="","",IF(H118=Parametros!$B$6,J118*Parametros!$B$13,IF(H118=Parametros!$B$5,0,J118*Parametros!$B$13*Parametros!$C$6)))</f>
        <v/>
      </c>
      <c r="S118" s="18">
        <f>IF($E118="","",J118*Parametros!$B$14*M118)</f>
        <v/>
      </c>
      <c r="T118" s="18">
        <f>IF($E118="","",J118*Parametros!$B$14*(1-M118))</f>
        <v/>
      </c>
      <c r="U118" s="18">
        <f>IF($E118="","",O118+Q118+S118)</f>
        <v/>
      </c>
      <c r="V118" s="18">
        <f>IF($E118="","",P118+R118+T118)</f>
        <v/>
      </c>
      <c r="W118" s="18">
        <f>IF($E118="","",ROUND(J118-N118-U118-V118,2))</f>
        <v/>
      </c>
    </row>
    <row r="119">
      <c r="A119" s="10" t="n"/>
      <c r="B119" s="10" t="n"/>
      <c r="C119" s="10" t="n"/>
      <c r="D119" s="28" t="n"/>
      <c r="E119" s="30" t="n"/>
      <c r="F119" s="30" t="n"/>
      <c r="G119" s="10" t="n"/>
      <c r="H119" s="10" t="n"/>
      <c r="I119" s="10" t="n"/>
      <c r="J119" s="18">
        <f>IF($E119="","",E119-F119)</f>
        <v/>
      </c>
      <c r="K119" s="31">
        <f>IF($A119="","",SUMIFS(Horas!$D:$D,Horas!$B:$B,$A119,Horas!$C:$C,Parametros!$B$5))</f>
        <v/>
      </c>
      <c r="L119" s="31">
        <f>IF($A119="","",SUMIFS(Horas!$D:$D,Horas!$B:$B,$A119,Horas!$C:$C,Parametros!$B$6))</f>
        <v/>
      </c>
      <c r="M119" s="22">
        <f>IF($E119="","",IF(N(K119)+N(L119)=0,Parametros!$C$5,N(K119)/(N(K119)+N(L119))))</f>
        <v/>
      </c>
      <c r="N119" s="18">
        <f>IF($E119="","",J119*Parametros!$B$11+IF(G119=Parametros!$B$16,J119*Parametros!$B$12,0))</f>
        <v/>
      </c>
      <c r="O119" s="18">
        <f>IF($E119="","",IF(G119=Parametros!$B$5,J119*Parametros!$B$12,0))</f>
        <v/>
      </c>
      <c r="P119" s="18">
        <f>IF($E119="","",IF(G119=Parametros!$B$6,J119*Parametros!$B$12,0))</f>
        <v/>
      </c>
      <c r="Q119" s="18">
        <f>IF($E119="","",IF(H119=Parametros!$B$5,J119*Parametros!$B$13,IF(H119=Parametros!$B$6,0,J119*Parametros!$B$13*Parametros!$C$5)))</f>
        <v/>
      </c>
      <c r="R119" s="18">
        <f>IF($E119="","",IF(H119=Parametros!$B$6,J119*Parametros!$B$13,IF(H119=Parametros!$B$5,0,J119*Parametros!$B$13*Parametros!$C$6)))</f>
        <v/>
      </c>
      <c r="S119" s="18">
        <f>IF($E119="","",J119*Parametros!$B$14*M119)</f>
        <v/>
      </c>
      <c r="T119" s="18">
        <f>IF($E119="","",J119*Parametros!$B$14*(1-M119))</f>
        <v/>
      </c>
      <c r="U119" s="18">
        <f>IF($E119="","",O119+Q119+S119)</f>
        <v/>
      </c>
      <c r="V119" s="18">
        <f>IF($E119="","",P119+R119+T119)</f>
        <v/>
      </c>
      <c r="W119" s="18">
        <f>IF($E119="","",ROUND(J119-N119-U119-V119,2))</f>
        <v/>
      </c>
    </row>
    <row r="120">
      <c r="A120" s="10" t="n"/>
      <c r="B120" s="10" t="n"/>
      <c r="C120" s="10" t="n"/>
      <c r="D120" s="28" t="n"/>
      <c r="E120" s="30" t="n"/>
      <c r="F120" s="30" t="n"/>
      <c r="G120" s="10" t="n"/>
      <c r="H120" s="10" t="n"/>
      <c r="I120" s="10" t="n"/>
      <c r="J120" s="18">
        <f>IF($E120="","",E120-F120)</f>
        <v/>
      </c>
      <c r="K120" s="31">
        <f>IF($A120="","",SUMIFS(Horas!$D:$D,Horas!$B:$B,$A120,Horas!$C:$C,Parametros!$B$5))</f>
        <v/>
      </c>
      <c r="L120" s="31">
        <f>IF($A120="","",SUMIFS(Horas!$D:$D,Horas!$B:$B,$A120,Horas!$C:$C,Parametros!$B$6))</f>
        <v/>
      </c>
      <c r="M120" s="22">
        <f>IF($E120="","",IF(N(K120)+N(L120)=0,Parametros!$C$5,N(K120)/(N(K120)+N(L120))))</f>
        <v/>
      </c>
      <c r="N120" s="18">
        <f>IF($E120="","",J120*Parametros!$B$11+IF(G120=Parametros!$B$16,J120*Parametros!$B$12,0))</f>
        <v/>
      </c>
      <c r="O120" s="18">
        <f>IF($E120="","",IF(G120=Parametros!$B$5,J120*Parametros!$B$12,0))</f>
        <v/>
      </c>
      <c r="P120" s="18">
        <f>IF($E120="","",IF(G120=Parametros!$B$6,J120*Parametros!$B$12,0))</f>
        <v/>
      </c>
      <c r="Q120" s="18">
        <f>IF($E120="","",IF(H120=Parametros!$B$5,J120*Parametros!$B$13,IF(H120=Parametros!$B$6,0,J120*Parametros!$B$13*Parametros!$C$5)))</f>
        <v/>
      </c>
      <c r="R120" s="18">
        <f>IF($E120="","",IF(H120=Parametros!$B$6,J120*Parametros!$B$13,IF(H120=Parametros!$B$5,0,J120*Parametros!$B$13*Parametros!$C$6)))</f>
        <v/>
      </c>
      <c r="S120" s="18">
        <f>IF($E120="","",J120*Parametros!$B$14*M120)</f>
        <v/>
      </c>
      <c r="T120" s="18">
        <f>IF($E120="","",J120*Parametros!$B$14*(1-M120))</f>
        <v/>
      </c>
      <c r="U120" s="18">
        <f>IF($E120="","",O120+Q120+S120)</f>
        <v/>
      </c>
      <c r="V120" s="18">
        <f>IF($E120="","",P120+R120+T120)</f>
        <v/>
      </c>
      <c r="W120" s="18">
        <f>IF($E120="","",ROUND(J120-N120-U120-V120,2))</f>
        <v/>
      </c>
    </row>
    <row r="121">
      <c r="A121" s="10" t="n"/>
      <c r="B121" s="10" t="n"/>
      <c r="C121" s="10" t="n"/>
      <c r="D121" s="28" t="n"/>
      <c r="E121" s="30" t="n"/>
      <c r="F121" s="30" t="n"/>
      <c r="G121" s="10" t="n"/>
      <c r="H121" s="10" t="n"/>
      <c r="I121" s="10" t="n"/>
      <c r="J121" s="18">
        <f>IF($E121="","",E121-F121)</f>
        <v/>
      </c>
      <c r="K121" s="31">
        <f>IF($A121="","",SUMIFS(Horas!$D:$D,Horas!$B:$B,$A121,Horas!$C:$C,Parametros!$B$5))</f>
        <v/>
      </c>
      <c r="L121" s="31">
        <f>IF($A121="","",SUMIFS(Horas!$D:$D,Horas!$B:$B,$A121,Horas!$C:$C,Parametros!$B$6))</f>
        <v/>
      </c>
      <c r="M121" s="22">
        <f>IF($E121="","",IF(N(K121)+N(L121)=0,Parametros!$C$5,N(K121)/(N(K121)+N(L121))))</f>
        <v/>
      </c>
      <c r="N121" s="18">
        <f>IF($E121="","",J121*Parametros!$B$11+IF(G121=Parametros!$B$16,J121*Parametros!$B$12,0))</f>
        <v/>
      </c>
      <c r="O121" s="18">
        <f>IF($E121="","",IF(G121=Parametros!$B$5,J121*Parametros!$B$12,0))</f>
        <v/>
      </c>
      <c r="P121" s="18">
        <f>IF($E121="","",IF(G121=Parametros!$B$6,J121*Parametros!$B$12,0))</f>
        <v/>
      </c>
      <c r="Q121" s="18">
        <f>IF($E121="","",IF(H121=Parametros!$B$5,J121*Parametros!$B$13,IF(H121=Parametros!$B$6,0,J121*Parametros!$B$13*Parametros!$C$5)))</f>
        <v/>
      </c>
      <c r="R121" s="18">
        <f>IF($E121="","",IF(H121=Parametros!$B$6,J121*Parametros!$B$13,IF(H121=Parametros!$B$5,0,J121*Parametros!$B$13*Parametros!$C$6)))</f>
        <v/>
      </c>
      <c r="S121" s="18">
        <f>IF($E121="","",J121*Parametros!$B$14*M121)</f>
        <v/>
      </c>
      <c r="T121" s="18">
        <f>IF($E121="","",J121*Parametros!$B$14*(1-M121))</f>
        <v/>
      </c>
      <c r="U121" s="18">
        <f>IF($E121="","",O121+Q121+S121)</f>
        <v/>
      </c>
      <c r="V121" s="18">
        <f>IF($E121="","",P121+R121+T121)</f>
        <v/>
      </c>
      <c r="W121" s="18">
        <f>IF($E121="","",ROUND(J121-N121-U121-V121,2))</f>
        <v/>
      </c>
    </row>
    <row r="122">
      <c r="A122" s="10" t="n"/>
      <c r="B122" s="10" t="n"/>
      <c r="C122" s="10" t="n"/>
      <c r="D122" s="28" t="n"/>
      <c r="E122" s="30" t="n"/>
      <c r="F122" s="30" t="n"/>
      <c r="G122" s="10" t="n"/>
      <c r="H122" s="10" t="n"/>
      <c r="I122" s="10" t="n"/>
      <c r="J122" s="18">
        <f>IF($E122="","",E122-F122)</f>
        <v/>
      </c>
      <c r="K122" s="31">
        <f>IF($A122="","",SUMIFS(Horas!$D:$D,Horas!$B:$B,$A122,Horas!$C:$C,Parametros!$B$5))</f>
        <v/>
      </c>
      <c r="L122" s="31">
        <f>IF($A122="","",SUMIFS(Horas!$D:$D,Horas!$B:$B,$A122,Horas!$C:$C,Parametros!$B$6))</f>
        <v/>
      </c>
      <c r="M122" s="22">
        <f>IF($E122="","",IF(N(K122)+N(L122)=0,Parametros!$C$5,N(K122)/(N(K122)+N(L122))))</f>
        <v/>
      </c>
      <c r="N122" s="18">
        <f>IF($E122="","",J122*Parametros!$B$11+IF(G122=Parametros!$B$16,J122*Parametros!$B$12,0))</f>
        <v/>
      </c>
      <c r="O122" s="18">
        <f>IF($E122="","",IF(G122=Parametros!$B$5,J122*Parametros!$B$12,0))</f>
        <v/>
      </c>
      <c r="P122" s="18">
        <f>IF($E122="","",IF(G122=Parametros!$B$6,J122*Parametros!$B$12,0))</f>
        <v/>
      </c>
      <c r="Q122" s="18">
        <f>IF($E122="","",IF(H122=Parametros!$B$5,J122*Parametros!$B$13,IF(H122=Parametros!$B$6,0,J122*Parametros!$B$13*Parametros!$C$5)))</f>
        <v/>
      </c>
      <c r="R122" s="18">
        <f>IF($E122="","",IF(H122=Parametros!$B$6,J122*Parametros!$B$13,IF(H122=Parametros!$B$5,0,J122*Parametros!$B$13*Parametros!$C$6)))</f>
        <v/>
      </c>
      <c r="S122" s="18">
        <f>IF($E122="","",J122*Parametros!$B$14*M122)</f>
        <v/>
      </c>
      <c r="T122" s="18">
        <f>IF($E122="","",J122*Parametros!$B$14*(1-M122))</f>
        <v/>
      </c>
      <c r="U122" s="18">
        <f>IF($E122="","",O122+Q122+S122)</f>
        <v/>
      </c>
      <c r="V122" s="18">
        <f>IF($E122="","",P122+R122+T122)</f>
        <v/>
      </c>
      <c r="W122" s="18">
        <f>IF($E122="","",ROUND(J122-N122-U122-V122,2))</f>
        <v/>
      </c>
    </row>
    <row r="123">
      <c r="A123" s="10" t="n"/>
      <c r="B123" s="10" t="n"/>
      <c r="C123" s="10" t="n"/>
      <c r="D123" s="28" t="n"/>
      <c r="E123" s="30" t="n"/>
      <c r="F123" s="30" t="n"/>
      <c r="G123" s="10" t="n"/>
      <c r="H123" s="10" t="n"/>
      <c r="I123" s="10" t="n"/>
      <c r="J123" s="18">
        <f>IF($E123="","",E123-F123)</f>
        <v/>
      </c>
      <c r="K123" s="31">
        <f>IF($A123="","",SUMIFS(Horas!$D:$D,Horas!$B:$B,$A123,Horas!$C:$C,Parametros!$B$5))</f>
        <v/>
      </c>
      <c r="L123" s="31">
        <f>IF($A123="","",SUMIFS(Horas!$D:$D,Horas!$B:$B,$A123,Horas!$C:$C,Parametros!$B$6))</f>
        <v/>
      </c>
      <c r="M123" s="22">
        <f>IF($E123="","",IF(N(K123)+N(L123)=0,Parametros!$C$5,N(K123)/(N(K123)+N(L123))))</f>
        <v/>
      </c>
      <c r="N123" s="18">
        <f>IF($E123="","",J123*Parametros!$B$11+IF(G123=Parametros!$B$16,J123*Parametros!$B$12,0))</f>
        <v/>
      </c>
      <c r="O123" s="18">
        <f>IF($E123="","",IF(G123=Parametros!$B$5,J123*Parametros!$B$12,0))</f>
        <v/>
      </c>
      <c r="P123" s="18">
        <f>IF($E123="","",IF(G123=Parametros!$B$6,J123*Parametros!$B$12,0))</f>
        <v/>
      </c>
      <c r="Q123" s="18">
        <f>IF($E123="","",IF(H123=Parametros!$B$5,J123*Parametros!$B$13,IF(H123=Parametros!$B$6,0,J123*Parametros!$B$13*Parametros!$C$5)))</f>
        <v/>
      </c>
      <c r="R123" s="18">
        <f>IF($E123="","",IF(H123=Parametros!$B$6,J123*Parametros!$B$13,IF(H123=Parametros!$B$5,0,J123*Parametros!$B$13*Parametros!$C$6)))</f>
        <v/>
      </c>
      <c r="S123" s="18">
        <f>IF($E123="","",J123*Parametros!$B$14*M123)</f>
        <v/>
      </c>
      <c r="T123" s="18">
        <f>IF($E123="","",J123*Parametros!$B$14*(1-M123))</f>
        <v/>
      </c>
      <c r="U123" s="18">
        <f>IF($E123="","",O123+Q123+S123)</f>
        <v/>
      </c>
      <c r="V123" s="18">
        <f>IF($E123="","",P123+R123+T123)</f>
        <v/>
      </c>
      <c r="W123" s="18">
        <f>IF($E123="","",ROUND(J123-N123-U123-V123,2))</f>
        <v/>
      </c>
    </row>
    <row r="124">
      <c r="A124" s="10" t="n"/>
      <c r="B124" s="10" t="n"/>
      <c r="C124" s="10" t="n"/>
      <c r="D124" s="28" t="n"/>
      <c r="E124" s="30" t="n"/>
      <c r="F124" s="30" t="n"/>
      <c r="G124" s="10" t="n"/>
      <c r="H124" s="10" t="n"/>
      <c r="I124" s="10" t="n"/>
      <c r="J124" s="18">
        <f>IF($E124="","",E124-F124)</f>
        <v/>
      </c>
      <c r="K124" s="31">
        <f>IF($A124="","",SUMIFS(Horas!$D:$D,Horas!$B:$B,$A124,Horas!$C:$C,Parametros!$B$5))</f>
        <v/>
      </c>
      <c r="L124" s="31">
        <f>IF($A124="","",SUMIFS(Horas!$D:$D,Horas!$B:$B,$A124,Horas!$C:$C,Parametros!$B$6))</f>
        <v/>
      </c>
      <c r="M124" s="22">
        <f>IF($E124="","",IF(N(K124)+N(L124)=0,Parametros!$C$5,N(K124)/(N(K124)+N(L124))))</f>
        <v/>
      </c>
      <c r="N124" s="18">
        <f>IF($E124="","",J124*Parametros!$B$11+IF(G124=Parametros!$B$16,J124*Parametros!$B$12,0))</f>
        <v/>
      </c>
      <c r="O124" s="18">
        <f>IF($E124="","",IF(G124=Parametros!$B$5,J124*Parametros!$B$12,0))</f>
        <v/>
      </c>
      <c r="P124" s="18">
        <f>IF($E124="","",IF(G124=Parametros!$B$6,J124*Parametros!$B$12,0))</f>
        <v/>
      </c>
      <c r="Q124" s="18">
        <f>IF($E124="","",IF(H124=Parametros!$B$5,J124*Parametros!$B$13,IF(H124=Parametros!$B$6,0,J124*Parametros!$B$13*Parametros!$C$5)))</f>
        <v/>
      </c>
      <c r="R124" s="18">
        <f>IF($E124="","",IF(H124=Parametros!$B$6,J124*Parametros!$B$13,IF(H124=Parametros!$B$5,0,J124*Parametros!$B$13*Parametros!$C$6)))</f>
        <v/>
      </c>
      <c r="S124" s="18">
        <f>IF($E124="","",J124*Parametros!$B$14*M124)</f>
        <v/>
      </c>
      <c r="T124" s="18">
        <f>IF($E124="","",J124*Parametros!$B$14*(1-M124))</f>
        <v/>
      </c>
      <c r="U124" s="18">
        <f>IF($E124="","",O124+Q124+S124)</f>
        <v/>
      </c>
      <c r="V124" s="18">
        <f>IF($E124="","",P124+R124+T124)</f>
        <v/>
      </c>
      <c r="W124" s="18">
        <f>IF($E124="","",ROUND(J124-N124-U124-V124,2))</f>
        <v/>
      </c>
    </row>
    <row r="125">
      <c r="A125" s="10" t="n"/>
      <c r="B125" s="10" t="n"/>
      <c r="C125" s="10" t="n"/>
      <c r="D125" s="28" t="n"/>
      <c r="E125" s="30" t="n"/>
      <c r="F125" s="30" t="n"/>
      <c r="G125" s="10" t="n"/>
      <c r="H125" s="10" t="n"/>
      <c r="I125" s="10" t="n"/>
      <c r="J125" s="18">
        <f>IF($E125="","",E125-F125)</f>
        <v/>
      </c>
      <c r="K125" s="31">
        <f>IF($A125="","",SUMIFS(Horas!$D:$D,Horas!$B:$B,$A125,Horas!$C:$C,Parametros!$B$5))</f>
        <v/>
      </c>
      <c r="L125" s="31">
        <f>IF($A125="","",SUMIFS(Horas!$D:$D,Horas!$B:$B,$A125,Horas!$C:$C,Parametros!$B$6))</f>
        <v/>
      </c>
      <c r="M125" s="22">
        <f>IF($E125="","",IF(N(K125)+N(L125)=0,Parametros!$C$5,N(K125)/(N(K125)+N(L125))))</f>
        <v/>
      </c>
      <c r="N125" s="18">
        <f>IF($E125="","",J125*Parametros!$B$11+IF(G125=Parametros!$B$16,J125*Parametros!$B$12,0))</f>
        <v/>
      </c>
      <c r="O125" s="18">
        <f>IF($E125="","",IF(G125=Parametros!$B$5,J125*Parametros!$B$12,0))</f>
        <v/>
      </c>
      <c r="P125" s="18">
        <f>IF($E125="","",IF(G125=Parametros!$B$6,J125*Parametros!$B$12,0))</f>
        <v/>
      </c>
      <c r="Q125" s="18">
        <f>IF($E125="","",IF(H125=Parametros!$B$5,J125*Parametros!$B$13,IF(H125=Parametros!$B$6,0,J125*Parametros!$B$13*Parametros!$C$5)))</f>
        <v/>
      </c>
      <c r="R125" s="18">
        <f>IF($E125="","",IF(H125=Parametros!$B$6,J125*Parametros!$B$13,IF(H125=Parametros!$B$5,0,J125*Parametros!$B$13*Parametros!$C$6)))</f>
        <v/>
      </c>
      <c r="S125" s="18">
        <f>IF($E125="","",J125*Parametros!$B$14*M125)</f>
        <v/>
      </c>
      <c r="T125" s="18">
        <f>IF($E125="","",J125*Parametros!$B$14*(1-M125))</f>
        <v/>
      </c>
      <c r="U125" s="18">
        <f>IF($E125="","",O125+Q125+S125)</f>
        <v/>
      </c>
      <c r="V125" s="18">
        <f>IF($E125="","",P125+R125+T125)</f>
        <v/>
      </c>
      <c r="W125" s="18">
        <f>IF($E125="","",ROUND(J125-N125-U125-V125,2))</f>
        <v/>
      </c>
    </row>
    <row r="126">
      <c r="A126" s="10" t="n"/>
      <c r="B126" s="10" t="n"/>
      <c r="C126" s="10" t="n"/>
      <c r="D126" s="28" t="n"/>
      <c r="E126" s="30" t="n"/>
      <c r="F126" s="30" t="n"/>
      <c r="G126" s="10" t="n"/>
      <c r="H126" s="10" t="n"/>
      <c r="I126" s="10" t="n"/>
      <c r="J126" s="18">
        <f>IF($E126="","",E126-F126)</f>
        <v/>
      </c>
      <c r="K126" s="31">
        <f>IF($A126="","",SUMIFS(Horas!$D:$D,Horas!$B:$B,$A126,Horas!$C:$C,Parametros!$B$5))</f>
        <v/>
      </c>
      <c r="L126" s="31">
        <f>IF($A126="","",SUMIFS(Horas!$D:$D,Horas!$B:$B,$A126,Horas!$C:$C,Parametros!$B$6))</f>
        <v/>
      </c>
      <c r="M126" s="22">
        <f>IF($E126="","",IF(N(K126)+N(L126)=0,Parametros!$C$5,N(K126)/(N(K126)+N(L126))))</f>
        <v/>
      </c>
      <c r="N126" s="18">
        <f>IF($E126="","",J126*Parametros!$B$11+IF(G126=Parametros!$B$16,J126*Parametros!$B$12,0))</f>
        <v/>
      </c>
      <c r="O126" s="18">
        <f>IF($E126="","",IF(G126=Parametros!$B$5,J126*Parametros!$B$12,0))</f>
        <v/>
      </c>
      <c r="P126" s="18">
        <f>IF($E126="","",IF(G126=Parametros!$B$6,J126*Parametros!$B$12,0))</f>
        <v/>
      </c>
      <c r="Q126" s="18">
        <f>IF($E126="","",IF(H126=Parametros!$B$5,J126*Parametros!$B$13,IF(H126=Parametros!$B$6,0,J126*Parametros!$B$13*Parametros!$C$5)))</f>
        <v/>
      </c>
      <c r="R126" s="18">
        <f>IF($E126="","",IF(H126=Parametros!$B$6,J126*Parametros!$B$13,IF(H126=Parametros!$B$5,0,J126*Parametros!$B$13*Parametros!$C$6)))</f>
        <v/>
      </c>
      <c r="S126" s="18">
        <f>IF($E126="","",J126*Parametros!$B$14*M126)</f>
        <v/>
      </c>
      <c r="T126" s="18">
        <f>IF($E126="","",J126*Parametros!$B$14*(1-M126))</f>
        <v/>
      </c>
      <c r="U126" s="18">
        <f>IF($E126="","",O126+Q126+S126)</f>
        <v/>
      </c>
      <c r="V126" s="18">
        <f>IF($E126="","",P126+R126+T126)</f>
        <v/>
      </c>
      <c r="W126" s="18">
        <f>IF($E126="","",ROUND(J126-N126-U126-V126,2))</f>
        <v/>
      </c>
    </row>
    <row r="127">
      <c r="A127" s="10" t="n"/>
      <c r="B127" s="10" t="n"/>
      <c r="C127" s="10" t="n"/>
      <c r="D127" s="28" t="n"/>
      <c r="E127" s="30" t="n"/>
      <c r="F127" s="30" t="n"/>
      <c r="G127" s="10" t="n"/>
      <c r="H127" s="10" t="n"/>
      <c r="I127" s="10" t="n"/>
      <c r="J127" s="18">
        <f>IF($E127="","",E127-F127)</f>
        <v/>
      </c>
      <c r="K127" s="31">
        <f>IF($A127="","",SUMIFS(Horas!$D:$D,Horas!$B:$B,$A127,Horas!$C:$C,Parametros!$B$5))</f>
        <v/>
      </c>
      <c r="L127" s="31">
        <f>IF($A127="","",SUMIFS(Horas!$D:$D,Horas!$B:$B,$A127,Horas!$C:$C,Parametros!$B$6))</f>
        <v/>
      </c>
      <c r="M127" s="22">
        <f>IF($E127="","",IF(N(K127)+N(L127)=0,Parametros!$C$5,N(K127)/(N(K127)+N(L127))))</f>
        <v/>
      </c>
      <c r="N127" s="18">
        <f>IF($E127="","",J127*Parametros!$B$11+IF(G127=Parametros!$B$16,J127*Parametros!$B$12,0))</f>
        <v/>
      </c>
      <c r="O127" s="18">
        <f>IF($E127="","",IF(G127=Parametros!$B$5,J127*Parametros!$B$12,0))</f>
        <v/>
      </c>
      <c r="P127" s="18">
        <f>IF($E127="","",IF(G127=Parametros!$B$6,J127*Parametros!$B$12,0))</f>
        <v/>
      </c>
      <c r="Q127" s="18">
        <f>IF($E127="","",IF(H127=Parametros!$B$5,J127*Parametros!$B$13,IF(H127=Parametros!$B$6,0,J127*Parametros!$B$13*Parametros!$C$5)))</f>
        <v/>
      </c>
      <c r="R127" s="18">
        <f>IF($E127="","",IF(H127=Parametros!$B$6,J127*Parametros!$B$13,IF(H127=Parametros!$B$5,0,J127*Parametros!$B$13*Parametros!$C$6)))</f>
        <v/>
      </c>
      <c r="S127" s="18">
        <f>IF($E127="","",J127*Parametros!$B$14*M127)</f>
        <v/>
      </c>
      <c r="T127" s="18">
        <f>IF($E127="","",J127*Parametros!$B$14*(1-M127))</f>
        <v/>
      </c>
      <c r="U127" s="18">
        <f>IF($E127="","",O127+Q127+S127)</f>
        <v/>
      </c>
      <c r="V127" s="18">
        <f>IF($E127="","",P127+R127+T127)</f>
        <v/>
      </c>
      <c r="W127" s="18">
        <f>IF($E127="","",ROUND(J127-N127-U127-V127,2))</f>
        <v/>
      </c>
    </row>
    <row r="128">
      <c r="A128" s="10" t="n"/>
      <c r="B128" s="10" t="n"/>
      <c r="C128" s="10" t="n"/>
      <c r="D128" s="28" t="n"/>
      <c r="E128" s="30" t="n"/>
      <c r="F128" s="30" t="n"/>
      <c r="G128" s="10" t="n"/>
      <c r="H128" s="10" t="n"/>
      <c r="I128" s="10" t="n"/>
      <c r="J128" s="18">
        <f>IF($E128="","",E128-F128)</f>
        <v/>
      </c>
      <c r="K128" s="31">
        <f>IF($A128="","",SUMIFS(Horas!$D:$D,Horas!$B:$B,$A128,Horas!$C:$C,Parametros!$B$5))</f>
        <v/>
      </c>
      <c r="L128" s="31">
        <f>IF($A128="","",SUMIFS(Horas!$D:$D,Horas!$B:$B,$A128,Horas!$C:$C,Parametros!$B$6))</f>
        <v/>
      </c>
      <c r="M128" s="22">
        <f>IF($E128="","",IF(N(K128)+N(L128)=0,Parametros!$C$5,N(K128)/(N(K128)+N(L128))))</f>
        <v/>
      </c>
      <c r="N128" s="18">
        <f>IF($E128="","",J128*Parametros!$B$11+IF(G128=Parametros!$B$16,J128*Parametros!$B$12,0))</f>
        <v/>
      </c>
      <c r="O128" s="18">
        <f>IF($E128="","",IF(G128=Parametros!$B$5,J128*Parametros!$B$12,0))</f>
        <v/>
      </c>
      <c r="P128" s="18">
        <f>IF($E128="","",IF(G128=Parametros!$B$6,J128*Parametros!$B$12,0))</f>
        <v/>
      </c>
      <c r="Q128" s="18">
        <f>IF($E128="","",IF(H128=Parametros!$B$5,J128*Parametros!$B$13,IF(H128=Parametros!$B$6,0,J128*Parametros!$B$13*Parametros!$C$5)))</f>
        <v/>
      </c>
      <c r="R128" s="18">
        <f>IF($E128="","",IF(H128=Parametros!$B$6,J128*Parametros!$B$13,IF(H128=Parametros!$B$5,0,J128*Parametros!$B$13*Parametros!$C$6)))</f>
        <v/>
      </c>
      <c r="S128" s="18">
        <f>IF($E128="","",J128*Parametros!$B$14*M128)</f>
        <v/>
      </c>
      <c r="T128" s="18">
        <f>IF($E128="","",J128*Parametros!$B$14*(1-M128))</f>
        <v/>
      </c>
      <c r="U128" s="18">
        <f>IF($E128="","",O128+Q128+S128)</f>
        <v/>
      </c>
      <c r="V128" s="18">
        <f>IF($E128="","",P128+R128+T128)</f>
        <v/>
      </c>
      <c r="W128" s="18">
        <f>IF($E128="","",ROUND(J128-N128-U128-V128,2))</f>
        <v/>
      </c>
    </row>
    <row r="129">
      <c r="A129" s="10" t="n"/>
      <c r="B129" s="10" t="n"/>
      <c r="C129" s="10" t="n"/>
      <c r="D129" s="28" t="n"/>
      <c r="E129" s="30" t="n"/>
      <c r="F129" s="30" t="n"/>
      <c r="G129" s="10" t="n"/>
      <c r="H129" s="10" t="n"/>
      <c r="I129" s="10" t="n"/>
      <c r="J129" s="18">
        <f>IF($E129="","",E129-F129)</f>
        <v/>
      </c>
      <c r="K129" s="31">
        <f>IF($A129="","",SUMIFS(Horas!$D:$D,Horas!$B:$B,$A129,Horas!$C:$C,Parametros!$B$5))</f>
        <v/>
      </c>
      <c r="L129" s="31">
        <f>IF($A129="","",SUMIFS(Horas!$D:$D,Horas!$B:$B,$A129,Horas!$C:$C,Parametros!$B$6))</f>
        <v/>
      </c>
      <c r="M129" s="22">
        <f>IF($E129="","",IF(N(K129)+N(L129)=0,Parametros!$C$5,N(K129)/(N(K129)+N(L129))))</f>
        <v/>
      </c>
      <c r="N129" s="18">
        <f>IF($E129="","",J129*Parametros!$B$11+IF(G129=Parametros!$B$16,J129*Parametros!$B$12,0))</f>
        <v/>
      </c>
      <c r="O129" s="18">
        <f>IF($E129="","",IF(G129=Parametros!$B$5,J129*Parametros!$B$12,0))</f>
        <v/>
      </c>
      <c r="P129" s="18">
        <f>IF($E129="","",IF(G129=Parametros!$B$6,J129*Parametros!$B$12,0))</f>
        <v/>
      </c>
      <c r="Q129" s="18">
        <f>IF($E129="","",IF(H129=Parametros!$B$5,J129*Parametros!$B$13,IF(H129=Parametros!$B$6,0,J129*Parametros!$B$13*Parametros!$C$5)))</f>
        <v/>
      </c>
      <c r="R129" s="18">
        <f>IF($E129="","",IF(H129=Parametros!$B$6,J129*Parametros!$B$13,IF(H129=Parametros!$B$5,0,J129*Parametros!$B$13*Parametros!$C$6)))</f>
        <v/>
      </c>
      <c r="S129" s="18">
        <f>IF($E129="","",J129*Parametros!$B$14*M129)</f>
        <v/>
      </c>
      <c r="T129" s="18">
        <f>IF($E129="","",J129*Parametros!$B$14*(1-M129))</f>
        <v/>
      </c>
      <c r="U129" s="18">
        <f>IF($E129="","",O129+Q129+S129)</f>
        <v/>
      </c>
      <c r="V129" s="18">
        <f>IF($E129="","",P129+R129+T129)</f>
        <v/>
      </c>
      <c r="W129" s="18">
        <f>IF($E129="","",ROUND(J129-N129-U129-V129,2))</f>
        <v/>
      </c>
    </row>
    <row r="130">
      <c r="A130" s="10" t="n"/>
      <c r="B130" s="10" t="n"/>
      <c r="C130" s="10" t="n"/>
      <c r="D130" s="28" t="n"/>
      <c r="E130" s="30" t="n"/>
      <c r="F130" s="30" t="n"/>
      <c r="G130" s="10" t="n"/>
      <c r="H130" s="10" t="n"/>
      <c r="I130" s="10" t="n"/>
      <c r="J130" s="18">
        <f>IF($E130="","",E130-F130)</f>
        <v/>
      </c>
      <c r="K130" s="31">
        <f>IF($A130="","",SUMIFS(Horas!$D:$D,Horas!$B:$B,$A130,Horas!$C:$C,Parametros!$B$5))</f>
        <v/>
      </c>
      <c r="L130" s="31">
        <f>IF($A130="","",SUMIFS(Horas!$D:$D,Horas!$B:$B,$A130,Horas!$C:$C,Parametros!$B$6))</f>
        <v/>
      </c>
      <c r="M130" s="22">
        <f>IF($E130="","",IF(N(K130)+N(L130)=0,Parametros!$C$5,N(K130)/(N(K130)+N(L130))))</f>
        <v/>
      </c>
      <c r="N130" s="18">
        <f>IF($E130="","",J130*Parametros!$B$11+IF(G130=Parametros!$B$16,J130*Parametros!$B$12,0))</f>
        <v/>
      </c>
      <c r="O130" s="18">
        <f>IF($E130="","",IF(G130=Parametros!$B$5,J130*Parametros!$B$12,0))</f>
        <v/>
      </c>
      <c r="P130" s="18">
        <f>IF($E130="","",IF(G130=Parametros!$B$6,J130*Parametros!$B$12,0))</f>
        <v/>
      </c>
      <c r="Q130" s="18">
        <f>IF($E130="","",IF(H130=Parametros!$B$5,J130*Parametros!$B$13,IF(H130=Parametros!$B$6,0,J130*Parametros!$B$13*Parametros!$C$5)))</f>
        <v/>
      </c>
      <c r="R130" s="18">
        <f>IF($E130="","",IF(H130=Parametros!$B$6,J130*Parametros!$B$13,IF(H130=Parametros!$B$5,0,J130*Parametros!$B$13*Parametros!$C$6)))</f>
        <v/>
      </c>
      <c r="S130" s="18">
        <f>IF($E130="","",J130*Parametros!$B$14*M130)</f>
        <v/>
      </c>
      <c r="T130" s="18">
        <f>IF($E130="","",J130*Parametros!$B$14*(1-M130))</f>
        <v/>
      </c>
      <c r="U130" s="18">
        <f>IF($E130="","",O130+Q130+S130)</f>
        <v/>
      </c>
      <c r="V130" s="18">
        <f>IF($E130="","",P130+R130+T130)</f>
        <v/>
      </c>
      <c r="W130" s="18">
        <f>IF($E130="","",ROUND(J130-N130-U130-V130,2))</f>
        <v/>
      </c>
    </row>
    <row r="131">
      <c r="A131" s="10" t="n"/>
      <c r="B131" s="10" t="n"/>
      <c r="C131" s="10" t="n"/>
      <c r="D131" s="28" t="n"/>
      <c r="E131" s="30" t="n"/>
      <c r="F131" s="30" t="n"/>
      <c r="G131" s="10" t="n"/>
      <c r="H131" s="10" t="n"/>
      <c r="I131" s="10" t="n"/>
      <c r="J131" s="18">
        <f>IF($E131="","",E131-F131)</f>
        <v/>
      </c>
      <c r="K131" s="31">
        <f>IF($A131="","",SUMIFS(Horas!$D:$D,Horas!$B:$B,$A131,Horas!$C:$C,Parametros!$B$5))</f>
        <v/>
      </c>
      <c r="L131" s="31">
        <f>IF($A131="","",SUMIFS(Horas!$D:$D,Horas!$B:$B,$A131,Horas!$C:$C,Parametros!$B$6))</f>
        <v/>
      </c>
      <c r="M131" s="22">
        <f>IF($E131="","",IF(N(K131)+N(L131)=0,Parametros!$C$5,N(K131)/(N(K131)+N(L131))))</f>
        <v/>
      </c>
      <c r="N131" s="18">
        <f>IF($E131="","",J131*Parametros!$B$11+IF(G131=Parametros!$B$16,J131*Parametros!$B$12,0))</f>
        <v/>
      </c>
      <c r="O131" s="18">
        <f>IF($E131="","",IF(G131=Parametros!$B$5,J131*Parametros!$B$12,0))</f>
        <v/>
      </c>
      <c r="P131" s="18">
        <f>IF($E131="","",IF(G131=Parametros!$B$6,J131*Parametros!$B$12,0))</f>
        <v/>
      </c>
      <c r="Q131" s="18">
        <f>IF($E131="","",IF(H131=Parametros!$B$5,J131*Parametros!$B$13,IF(H131=Parametros!$B$6,0,J131*Parametros!$B$13*Parametros!$C$5)))</f>
        <v/>
      </c>
      <c r="R131" s="18">
        <f>IF($E131="","",IF(H131=Parametros!$B$6,J131*Parametros!$B$13,IF(H131=Parametros!$B$5,0,J131*Parametros!$B$13*Parametros!$C$6)))</f>
        <v/>
      </c>
      <c r="S131" s="18">
        <f>IF($E131="","",J131*Parametros!$B$14*M131)</f>
        <v/>
      </c>
      <c r="T131" s="18">
        <f>IF($E131="","",J131*Parametros!$B$14*(1-M131))</f>
        <v/>
      </c>
      <c r="U131" s="18">
        <f>IF($E131="","",O131+Q131+S131)</f>
        <v/>
      </c>
      <c r="V131" s="18">
        <f>IF($E131="","",P131+R131+T131)</f>
        <v/>
      </c>
      <c r="W131" s="18">
        <f>IF($E131="","",ROUND(J131-N131-U131-V131,2))</f>
        <v/>
      </c>
    </row>
    <row r="132">
      <c r="A132" s="10" t="n"/>
      <c r="B132" s="10" t="n"/>
      <c r="C132" s="10" t="n"/>
      <c r="D132" s="28" t="n"/>
      <c r="E132" s="30" t="n"/>
      <c r="F132" s="30" t="n"/>
      <c r="G132" s="10" t="n"/>
      <c r="H132" s="10" t="n"/>
      <c r="I132" s="10" t="n"/>
      <c r="J132" s="18">
        <f>IF($E132="","",E132-F132)</f>
        <v/>
      </c>
      <c r="K132" s="31">
        <f>IF($A132="","",SUMIFS(Horas!$D:$D,Horas!$B:$B,$A132,Horas!$C:$C,Parametros!$B$5))</f>
        <v/>
      </c>
      <c r="L132" s="31">
        <f>IF($A132="","",SUMIFS(Horas!$D:$D,Horas!$B:$B,$A132,Horas!$C:$C,Parametros!$B$6))</f>
        <v/>
      </c>
      <c r="M132" s="22">
        <f>IF($E132="","",IF(N(K132)+N(L132)=0,Parametros!$C$5,N(K132)/(N(K132)+N(L132))))</f>
        <v/>
      </c>
      <c r="N132" s="18">
        <f>IF($E132="","",J132*Parametros!$B$11+IF(G132=Parametros!$B$16,J132*Parametros!$B$12,0))</f>
        <v/>
      </c>
      <c r="O132" s="18">
        <f>IF($E132="","",IF(G132=Parametros!$B$5,J132*Parametros!$B$12,0))</f>
        <v/>
      </c>
      <c r="P132" s="18">
        <f>IF($E132="","",IF(G132=Parametros!$B$6,J132*Parametros!$B$12,0))</f>
        <v/>
      </c>
      <c r="Q132" s="18">
        <f>IF($E132="","",IF(H132=Parametros!$B$5,J132*Parametros!$B$13,IF(H132=Parametros!$B$6,0,J132*Parametros!$B$13*Parametros!$C$5)))</f>
        <v/>
      </c>
      <c r="R132" s="18">
        <f>IF($E132="","",IF(H132=Parametros!$B$6,J132*Parametros!$B$13,IF(H132=Parametros!$B$5,0,J132*Parametros!$B$13*Parametros!$C$6)))</f>
        <v/>
      </c>
      <c r="S132" s="18">
        <f>IF($E132="","",J132*Parametros!$B$14*M132)</f>
        <v/>
      </c>
      <c r="T132" s="18">
        <f>IF($E132="","",J132*Parametros!$B$14*(1-M132))</f>
        <v/>
      </c>
      <c r="U132" s="18">
        <f>IF($E132="","",O132+Q132+S132)</f>
        <v/>
      </c>
      <c r="V132" s="18">
        <f>IF($E132="","",P132+R132+T132)</f>
        <v/>
      </c>
      <c r="W132" s="18">
        <f>IF($E132="","",ROUND(J132-N132-U132-V132,2))</f>
        <v/>
      </c>
    </row>
    <row r="133">
      <c r="A133" s="10" t="n"/>
      <c r="B133" s="10" t="n"/>
      <c r="C133" s="10" t="n"/>
      <c r="D133" s="28" t="n"/>
      <c r="E133" s="30" t="n"/>
      <c r="F133" s="30" t="n"/>
      <c r="G133" s="10" t="n"/>
      <c r="H133" s="10" t="n"/>
      <c r="I133" s="10" t="n"/>
      <c r="J133" s="18">
        <f>IF($E133="","",E133-F133)</f>
        <v/>
      </c>
      <c r="K133" s="31">
        <f>IF($A133="","",SUMIFS(Horas!$D:$D,Horas!$B:$B,$A133,Horas!$C:$C,Parametros!$B$5))</f>
        <v/>
      </c>
      <c r="L133" s="31">
        <f>IF($A133="","",SUMIFS(Horas!$D:$D,Horas!$B:$B,$A133,Horas!$C:$C,Parametros!$B$6))</f>
        <v/>
      </c>
      <c r="M133" s="22">
        <f>IF($E133="","",IF(N(K133)+N(L133)=0,Parametros!$C$5,N(K133)/(N(K133)+N(L133))))</f>
        <v/>
      </c>
      <c r="N133" s="18">
        <f>IF($E133="","",J133*Parametros!$B$11+IF(G133=Parametros!$B$16,J133*Parametros!$B$12,0))</f>
        <v/>
      </c>
      <c r="O133" s="18">
        <f>IF($E133="","",IF(G133=Parametros!$B$5,J133*Parametros!$B$12,0))</f>
        <v/>
      </c>
      <c r="P133" s="18">
        <f>IF($E133="","",IF(G133=Parametros!$B$6,J133*Parametros!$B$12,0))</f>
        <v/>
      </c>
      <c r="Q133" s="18">
        <f>IF($E133="","",IF(H133=Parametros!$B$5,J133*Parametros!$B$13,IF(H133=Parametros!$B$6,0,J133*Parametros!$B$13*Parametros!$C$5)))</f>
        <v/>
      </c>
      <c r="R133" s="18">
        <f>IF($E133="","",IF(H133=Parametros!$B$6,J133*Parametros!$B$13,IF(H133=Parametros!$B$5,0,J133*Parametros!$B$13*Parametros!$C$6)))</f>
        <v/>
      </c>
      <c r="S133" s="18">
        <f>IF($E133="","",J133*Parametros!$B$14*M133)</f>
        <v/>
      </c>
      <c r="T133" s="18">
        <f>IF($E133="","",J133*Parametros!$B$14*(1-M133))</f>
        <v/>
      </c>
      <c r="U133" s="18">
        <f>IF($E133="","",O133+Q133+S133)</f>
        <v/>
      </c>
      <c r="V133" s="18">
        <f>IF($E133="","",P133+R133+T133)</f>
        <v/>
      </c>
      <c r="W133" s="18">
        <f>IF($E133="","",ROUND(J133-N133-U133-V133,2))</f>
        <v/>
      </c>
    </row>
    <row r="134">
      <c r="A134" s="10" t="n"/>
      <c r="B134" s="10" t="n"/>
      <c r="C134" s="10" t="n"/>
      <c r="D134" s="28" t="n"/>
      <c r="E134" s="30" t="n"/>
      <c r="F134" s="30" t="n"/>
      <c r="G134" s="10" t="n"/>
      <c r="H134" s="10" t="n"/>
      <c r="I134" s="10" t="n"/>
      <c r="J134" s="18">
        <f>IF($E134="","",E134-F134)</f>
        <v/>
      </c>
      <c r="K134" s="31">
        <f>IF($A134="","",SUMIFS(Horas!$D:$D,Horas!$B:$B,$A134,Horas!$C:$C,Parametros!$B$5))</f>
        <v/>
      </c>
      <c r="L134" s="31">
        <f>IF($A134="","",SUMIFS(Horas!$D:$D,Horas!$B:$B,$A134,Horas!$C:$C,Parametros!$B$6))</f>
        <v/>
      </c>
      <c r="M134" s="22">
        <f>IF($E134="","",IF(N(K134)+N(L134)=0,Parametros!$C$5,N(K134)/(N(K134)+N(L134))))</f>
        <v/>
      </c>
      <c r="N134" s="18">
        <f>IF($E134="","",J134*Parametros!$B$11+IF(G134=Parametros!$B$16,J134*Parametros!$B$12,0))</f>
        <v/>
      </c>
      <c r="O134" s="18">
        <f>IF($E134="","",IF(G134=Parametros!$B$5,J134*Parametros!$B$12,0))</f>
        <v/>
      </c>
      <c r="P134" s="18">
        <f>IF($E134="","",IF(G134=Parametros!$B$6,J134*Parametros!$B$12,0))</f>
        <v/>
      </c>
      <c r="Q134" s="18">
        <f>IF($E134="","",IF(H134=Parametros!$B$5,J134*Parametros!$B$13,IF(H134=Parametros!$B$6,0,J134*Parametros!$B$13*Parametros!$C$5)))</f>
        <v/>
      </c>
      <c r="R134" s="18">
        <f>IF($E134="","",IF(H134=Parametros!$B$6,J134*Parametros!$B$13,IF(H134=Parametros!$B$5,0,J134*Parametros!$B$13*Parametros!$C$6)))</f>
        <v/>
      </c>
      <c r="S134" s="18">
        <f>IF($E134="","",J134*Parametros!$B$14*M134)</f>
        <v/>
      </c>
      <c r="T134" s="18">
        <f>IF($E134="","",J134*Parametros!$B$14*(1-M134))</f>
        <v/>
      </c>
      <c r="U134" s="18">
        <f>IF($E134="","",O134+Q134+S134)</f>
        <v/>
      </c>
      <c r="V134" s="18">
        <f>IF($E134="","",P134+R134+T134)</f>
        <v/>
      </c>
      <c r="W134" s="18">
        <f>IF($E134="","",ROUND(J134-N134-U134-V134,2))</f>
        <v/>
      </c>
    </row>
    <row r="135">
      <c r="A135" s="10" t="n"/>
      <c r="B135" s="10" t="n"/>
      <c r="C135" s="10" t="n"/>
      <c r="D135" s="28" t="n"/>
      <c r="E135" s="30" t="n"/>
      <c r="F135" s="30" t="n"/>
      <c r="G135" s="10" t="n"/>
      <c r="H135" s="10" t="n"/>
      <c r="I135" s="10" t="n"/>
      <c r="J135" s="18">
        <f>IF($E135="","",E135-F135)</f>
        <v/>
      </c>
      <c r="K135" s="31">
        <f>IF($A135="","",SUMIFS(Horas!$D:$D,Horas!$B:$B,$A135,Horas!$C:$C,Parametros!$B$5))</f>
        <v/>
      </c>
      <c r="L135" s="31">
        <f>IF($A135="","",SUMIFS(Horas!$D:$D,Horas!$B:$B,$A135,Horas!$C:$C,Parametros!$B$6))</f>
        <v/>
      </c>
      <c r="M135" s="22">
        <f>IF($E135="","",IF(N(K135)+N(L135)=0,Parametros!$C$5,N(K135)/(N(K135)+N(L135))))</f>
        <v/>
      </c>
      <c r="N135" s="18">
        <f>IF($E135="","",J135*Parametros!$B$11+IF(G135=Parametros!$B$16,J135*Parametros!$B$12,0))</f>
        <v/>
      </c>
      <c r="O135" s="18">
        <f>IF($E135="","",IF(G135=Parametros!$B$5,J135*Parametros!$B$12,0))</f>
        <v/>
      </c>
      <c r="P135" s="18">
        <f>IF($E135="","",IF(G135=Parametros!$B$6,J135*Parametros!$B$12,0))</f>
        <v/>
      </c>
      <c r="Q135" s="18">
        <f>IF($E135="","",IF(H135=Parametros!$B$5,J135*Parametros!$B$13,IF(H135=Parametros!$B$6,0,J135*Parametros!$B$13*Parametros!$C$5)))</f>
        <v/>
      </c>
      <c r="R135" s="18">
        <f>IF($E135="","",IF(H135=Parametros!$B$6,J135*Parametros!$B$13,IF(H135=Parametros!$B$5,0,J135*Parametros!$B$13*Parametros!$C$6)))</f>
        <v/>
      </c>
      <c r="S135" s="18">
        <f>IF($E135="","",J135*Parametros!$B$14*M135)</f>
        <v/>
      </c>
      <c r="T135" s="18">
        <f>IF($E135="","",J135*Parametros!$B$14*(1-M135))</f>
        <v/>
      </c>
      <c r="U135" s="18">
        <f>IF($E135="","",O135+Q135+S135)</f>
        <v/>
      </c>
      <c r="V135" s="18">
        <f>IF($E135="","",P135+R135+T135)</f>
        <v/>
      </c>
      <c r="W135" s="18">
        <f>IF($E135="","",ROUND(J135-N135-U135-V135,2))</f>
        <v/>
      </c>
    </row>
    <row r="136">
      <c r="A136" s="10" t="n"/>
      <c r="B136" s="10" t="n"/>
      <c r="C136" s="10" t="n"/>
      <c r="D136" s="28" t="n"/>
      <c r="E136" s="30" t="n"/>
      <c r="F136" s="30" t="n"/>
      <c r="G136" s="10" t="n"/>
      <c r="H136" s="10" t="n"/>
      <c r="I136" s="10" t="n"/>
      <c r="J136" s="18">
        <f>IF($E136="","",E136-F136)</f>
        <v/>
      </c>
      <c r="K136" s="31">
        <f>IF($A136="","",SUMIFS(Horas!$D:$D,Horas!$B:$B,$A136,Horas!$C:$C,Parametros!$B$5))</f>
        <v/>
      </c>
      <c r="L136" s="31">
        <f>IF($A136="","",SUMIFS(Horas!$D:$D,Horas!$B:$B,$A136,Horas!$C:$C,Parametros!$B$6))</f>
        <v/>
      </c>
      <c r="M136" s="22">
        <f>IF($E136="","",IF(N(K136)+N(L136)=0,Parametros!$C$5,N(K136)/(N(K136)+N(L136))))</f>
        <v/>
      </c>
      <c r="N136" s="18">
        <f>IF($E136="","",J136*Parametros!$B$11+IF(G136=Parametros!$B$16,J136*Parametros!$B$12,0))</f>
        <v/>
      </c>
      <c r="O136" s="18">
        <f>IF($E136="","",IF(G136=Parametros!$B$5,J136*Parametros!$B$12,0))</f>
        <v/>
      </c>
      <c r="P136" s="18">
        <f>IF($E136="","",IF(G136=Parametros!$B$6,J136*Parametros!$B$12,0))</f>
        <v/>
      </c>
      <c r="Q136" s="18">
        <f>IF($E136="","",IF(H136=Parametros!$B$5,J136*Parametros!$B$13,IF(H136=Parametros!$B$6,0,J136*Parametros!$B$13*Parametros!$C$5)))</f>
        <v/>
      </c>
      <c r="R136" s="18">
        <f>IF($E136="","",IF(H136=Parametros!$B$6,J136*Parametros!$B$13,IF(H136=Parametros!$B$5,0,J136*Parametros!$B$13*Parametros!$C$6)))</f>
        <v/>
      </c>
      <c r="S136" s="18">
        <f>IF($E136="","",J136*Parametros!$B$14*M136)</f>
        <v/>
      </c>
      <c r="T136" s="18">
        <f>IF($E136="","",J136*Parametros!$B$14*(1-M136))</f>
        <v/>
      </c>
      <c r="U136" s="18">
        <f>IF($E136="","",O136+Q136+S136)</f>
        <v/>
      </c>
      <c r="V136" s="18">
        <f>IF($E136="","",P136+R136+T136)</f>
        <v/>
      </c>
      <c r="W136" s="18">
        <f>IF($E136="","",ROUND(J136-N136-U136-V136,2))</f>
        <v/>
      </c>
    </row>
    <row r="137">
      <c r="A137" s="10" t="n"/>
      <c r="B137" s="10" t="n"/>
      <c r="C137" s="10" t="n"/>
      <c r="D137" s="28" t="n"/>
      <c r="E137" s="30" t="n"/>
      <c r="F137" s="30" t="n"/>
      <c r="G137" s="10" t="n"/>
      <c r="H137" s="10" t="n"/>
      <c r="I137" s="10" t="n"/>
      <c r="J137" s="18">
        <f>IF($E137="","",E137-F137)</f>
        <v/>
      </c>
      <c r="K137" s="31">
        <f>IF($A137="","",SUMIFS(Horas!$D:$D,Horas!$B:$B,$A137,Horas!$C:$C,Parametros!$B$5))</f>
        <v/>
      </c>
      <c r="L137" s="31">
        <f>IF($A137="","",SUMIFS(Horas!$D:$D,Horas!$B:$B,$A137,Horas!$C:$C,Parametros!$B$6))</f>
        <v/>
      </c>
      <c r="M137" s="22">
        <f>IF($E137="","",IF(N(K137)+N(L137)=0,Parametros!$C$5,N(K137)/(N(K137)+N(L137))))</f>
        <v/>
      </c>
      <c r="N137" s="18">
        <f>IF($E137="","",J137*Parametros!$B$11+IF(G137=Parametros!$B$16,J137*Parametros!$B$12,0))</f>
        <v/>
      </c>
      <c r="O137" s="18">
        <f>IF($E137="","",IF(G137=Parametros!$B$5,J137*Parametros!$B$12,0))</f>
        <v/>
      </c>
      <c r="P137" s="18">
        <f>IF($E137="","",IF(G137=Parametros!$B$6,J137*Parametros!$B$12,0))</f>
        <v/>
      </c>
      <c r="Q137" s="18">
        <f>IF($E137="","",IF(H137=Parametros!$B$5,J137*Parametros!$B$13,IF(H137=Parametros!$B$6,0,J137*Parametros!$B$13*Parametros!$C$5)))</f>
        <v/>
      </c>
      <c r="R137" s="18">
        <f>IF($E137="","",IF(H137=Parametros!$B$6,J137*Parametros!$B$13,IF(H137=Parametros!$B$5,0,J137*Parametros!$B$13*Parametros!$C$6)))</f>
        <v/>
      </c>
      <c r="S137" s="18">
        <f>IF($E137="","",J137*Parametros!$B$14*M137)</f>
        <v/>
      </c>
      <c r="T137" s="18">
        <f>IF($E137="","",J137*Parametros!$B$14*(1-M137))</f>
        <v/>
      </c>
      <c r="U137" s="18">
        <f>IF($E137="","",O137+Q137+S137)</f>
        <v/>
      </c>
      <c r="V137" s="18">
        <f>IF($E137="","",P137+R137+T137)</f>
        <v/>
      </c>
      <c r="W137" s="18">
        <f>IF($E137="","",ROUND(J137-N137-U137-V137,2))</f>
        <v/>
      </c>
    </row>
    <row r="138">
      <c r="A138" s="10" t="n"/>
      <c r="B138" s="10" t="n"/>
      <c r="C138" s="10" t="n"/>
      <c r="D138" s="28" t="n"/>
      <c r="E138" s="30" t="n"/>
      <c r="F138" s="30" t="n"/>
      <c r="G138" s="10" t="n"/>
      <c r="H138" s="10" t="n"/>
      <c r="I138" s="10" t="n"/>
      <c r="J138" s="18">
        <f>IF($E138="","",E138-F138)</f>
        <v/>
      </c>
      <c r="K138" s="31">
        <f>IF($A138="","",SUMIFS(Horas!$D:$D,Horas!$B:$B,$A138,Horas!$C:$C,Parametros!$B$5))</f>
        <v/>
      </c>
      <c r="L138" s="31">
        <f>IF($A138="","",SUMIFS(Horas!$D:$D,Horas!$B:$B,$A138,Horas!$C:$C,Parametros!$B$6))</f>
        <v/>
      </c>
      <c r="M138" s="22">
        <f>IF($E138="","",IF(N(K138)+N(L138)=0,Parametros!$C$5,N(K138)/(N(K138)+N(L138))))</f>
        <v/>
      </c>
      <c r="N138" s="18">
        <f>IF($E138="","",J138*Parametros!$B$11+IF(G138=Parametros!$B$16,J138*Parametros!$B$12,0))</f>
        <v/>
      </c>
      <c r="O138" s="18">
        <f>IF($E138="","",IF(G138=Parametros!$B$5,J138*Parametros!$B$12,0))</f>
        <v/>
      </c>
      <c r="P138" s="18">
        <f>IF($E138="","",IF(G138=Parametros!$B$6,J138*Parametros!$B$12,0))</f>
        <v/>
      </c>
      <c r="Q138" s="18">
        <f>IF($E138="","",IF(H138=Parametros!$B$5,J138*Parametros!$B$13,IF(H138=Parametros!$B$6,0,J138*Parametros!$B$13*Parametros!$C$5)))</f>
        <v/>
      </c>
      <c r="R138" s="18">
        <f>IF($E138="","",IF(H138=Parametros!$B$6,J138*Parametros!$B$13,IF(H138=Parametros!$B$5,0,J138*Parametros!$B$13*Parametros!$C$6)))</f>
        <v/>
      </c>
      <c r="S138" s="18">
        <f>IF($E138="","",J138*Parametros!$B$14*M138)</f>
        <v/>
      </c>
      <c r="T138" s="18">
        <f>IF($E138="","",J138*Parametros!$B$14*(1-M138))</f>
        <v/>
      </c>
      <c r="U138" s="18">
        <f>IF($E138="","",O138+Q138+S138)</f>
        <v/>
      </c>
      <c r="V138" s="18">
        <f>IF($E138="","",P138+R138+T138)</f>
        <v/>
      </c>
      <c r="W138" s="18">
        <f>IF($E138="","",ROUND(J138-N138-U138-V138,2))</f>
        <v/>
      </c>
    </row>
    <row r="139">
      <c r="A139" s="10" t="n"/>
      <c r="B139" s="10" t="n"/>
      <c r="C139" s="10" t="n"/>
      <c r="D139" s="28" t="n"/>
      <c r="E139" s="30" t="n"/>
      <c r="F139" s="30" t="n"/>
      <c r="G139" s="10" t="n"/>
      <c r="H139" s="10" t="n"/>
      <c r="I139" s="10" t="n"/>
      <c r="J139" s="18">
        <f>IF($E139="","",E139-F139)</f>
        <v/>
      </c>
      <c r="K139" s="31">
        <f>IF($A139="","",SUMIFS(Horas!$D:$D,Horas!$B:$B,$A139,Horas!$C:$C,Parametros!$B$5))</f>
        <v/>
      </c>
      <c r="L139" s="31">
        <f>IF($A139="","",SUMIFS(Horas!$D:$D,Horas!$B:$B,$A139,Horas!$C:$C,Parametros!$B$6))</f>
        <v/>
      </c>
      <c r="M139" s="22">
        <f>IF($E139="","",IF(N(K139)+N(L139)=0,Parametros!$C$5,N(K139)/(N(K139)+N(L139))))</f>
        <v/>
      </c>
      <c r="N139" s="18">
        <f>IF($E139="","",J139*Parametros!$B$11+IF(G139=Parametros!$B$16,J139*Parametros!$B$12,0))</f>
        <v/>
      </c>
      <c r="O139" s="18">
        <f>IF($E139="","",IF(G139=Parametros!$B$5,J139*Parametros!$B$12,0))</f>
        <v/>
      </c>
      <c r="P139" s="18">
        <f>IF($E139="","",IF(G139=Parametros!$B$6,J139*Parametros!$B$12,0))</f>
        <v/>
      </c>
      <c r="Q139" s="18">
        <f>IF($E139="","",IF(H139=Parametros!$B$5,J139*Parametros!$B$13,IF(H139=Parametros!$B$6,0,J139*Parametros!$B$13*Parametros!$C$5)))</f>
        <v/>
      </c>
      <c r="R139" s="18">
        <f>IF($E139="","",IF(H139=Parametros!$B$6,J139*Parametros!$B$13,IF(H139=Parametros!$B$5,0,J139*Parametros!$B$13*Parametros!$C$6)))</f>
        <v/>
      </c>
      <c r="S139" s="18">
        <f>IF($E139="","",J139*Parametros!$B$14*M139)</f>
        <v/>
      </c>
      <c r="T139" s="18">
        <f>IF($E139="","",J139*Parametros!$B$14*(1-M139))</f>
        <v/>
      </c>
      <c r="U139" s="18">
        <f>IF($E139="","",O139+Q139+S139)</f>
        <v/>
      </c>
      <c r="V139" s="18">
        <f>IF($E139="","",P139+R139+T139)</f>
        <v/>
      </c>
      <c r="W139" s="18">
        <f>IF($E139="","",ROUND(J139-N139-U139-V139,2))</f>
        <v/>
      </c>
    </row>
    <row r="140">
      <c r="A140" s="10" t="n"/>
      <c r="B140" s="10" t="n"/>
      <c r="C140" s="10" t="n"/>
      <c r="D140" s="28" t="n"/>
      <c r="E140" s="30" t="n"/>
      <c r="F140" s="30" t="n"/>
      <c r="G140" s="10" t="n"/>
      <c r="H140" s="10" t="n"/>
      <c r="I140" s="10" t="n"/>
      <c r="J140" s="18">
        <f>IF($E140="","",E140-F140)</f>
        <v/>
      </c>
      <c r="K140" s="31">
        <f>IF($A140="","",SUMIFS(Horas!$D:$D,Horas!$B:$B,$A140,Horas!$C:$C,Parametros!$B$5))</f>
        <v/>
      </c>
      <c r="L140" s="31">
        <f>IF($A140="","",SUMIFS(Horas!$D:$D,Horas!$B:$B,$A140,Horas!$C:$C,Parametros!$B$6))</f>
        <v/>
      </c>
      <c r="M140" s="22">
        <f>IF($E140="","",IF(N(K140)+N(L140)=0,Parametros!$C$5,N(K140)/(N(K140)+N(L140))))</f>
        <v/>
      </c>
      <c r="N140" s="18">
        <f>IF($E140="","",J140*Parametros!$B$11+IF(G140=Parametros!$B$16,J140*Parametros!$B$12,0))</f>
        <v/>
      </c>
      <c r="O140" s="18">
        <f>IF($E140="","",IF(G140=Parametros!$B$5,J140*Parametros!$B$12,0))</f>
        <v/>
      </c>
      <c r="P140" s="18">
        <f>IF($E140="","",IF(G140=Parametros!$B$6,J140*Parametros!$B$12,0))</f>
        <v/>
      </c>
      <c r="Q140" s="18">
        <f>IF($E140="","",IF(H140=Parametros!$B$5,J140*Parametros!$B$13,IF(H140=Parametros!$B$6,0,J140*Parametros!$B$13*Parametros!$C$5)))</f>
        <v/>
      </c>
      <c r="R140" s="18">
        <f>IF($E140="","",IF(H140=Parametros!$B$6,J140*Parametros!$B$13,IF(H140=Parametros!$B$5,0,J140*Parametros!$B$13*Parametros!$C$6)))</f>
        <v/>
      </c>
      <c r="S140" s="18">
        <f>IF($E140="","",J140*Parametros!$B$14*M140)</f>
        <v/>
      </c>
      <c r="T140" s="18">
        <f>IF($E140="","",J140*Parametros!$B$14*(1-M140))</f>
        <v/>
      </c>
      <c r="U140" s="18">
        <f>IF($E140="","",O140+Q140+S140)</f>
        <v/>
      </c>
      <c r="V140" s="18">
        <f>IF($E140="","",P140+R140+T140)</f>
        <v/>
      </c>
      <c r="W140" s="18">
        <f>IF($E140="","",ROUND(J140-N140-U140-V140,2))</f>
        <v/>
      </c>
    </row>
    <row r="141">
      <c r="A141" s="10" t="n"/>
      <c r="B141" s="10" t="n"/>
      <c r="C141" s="10" t="n"/>
      <c r="D141" s="28" t="n"/>
      <c r="E141" s="30" t="n"/>
      <c r="F141" s="30" t="n"/>
      <c r="G141" s="10" t="n"/>
      <c r="H141" s="10" t="n"/>
      <c r="I141" s="10" t="n"/>
      <c r="J141" s="18">
        <f>IF($E141="","",E141-F141)</f>
        <v/>
      </c>
      <c r="K141" s="31">
        <f>IF($A141="","",SUMIFS(Horas!$D:$D,Horas!$B:$B,$A141,Horas!$C:$C,Parametros!$B$5))</f>
        <v/>
      </c>
      <c r="L141" s="31">
        <f>IF($A141="","",SUMIFS(Horas!$D:$D,Horas!$B:$B,$A141,Horas!$C:$C,Parametros!$B$6))</f>
        <v/>
      </c>
      <c r="M141" s="22">
        <f>IF($E141="","",IF(N(K141)+N(L141)=0,Parametros!$C$5,N(K141)/(N(K141)+N(L141))))</f>
        <v/>
      </c>
      <c r="N141" s="18">
        <f>IF($E141="","",J141*Parametros!$B$11+IF(G141=Parametros!$B$16,J141*Parametros!$B$12,0))</f>
        <v/>
      </c>
      <c r="O141" s="18">
        <f>IF($E141="","",IF(G141=Parametros!$B$5,J141*Parametros!$B$12,0))</f>
        <v/>
      </c>
      <c r="P141" s="18">
        <f>IF($E141="","",IF(G141=Parametros!$B$6,J141*Parametros!$B$12,0))</f>
        <v/>
      </c>
      <c r="Q141" s="18">
        <f>IF($E141="","",IF(H141=Parametros!$B$5,J141*Parametros!$B$13,IF(H141=Parametros!$B$6,0,J141*Parametros!$B$13*Parametros!$C$5)))</f>
        <v/>
      </c>
      <c r="R141" s="18">
        <f>IF($E141="","",IF(H141=Parametros!$B$6,J141*Parametros!$B$13,IF(H141=Parametros!$B$5,0,J141*Parametros!$B$13*Parametros!$C$6)))</f>
        <v/>
      </c>
      <c r="S141" s="18">
        <f>IF($E141="","",J141*Parametros!$B$14*M141)</f>
        <v/>
      </c>
      <c r="T141" s="18">
        <f>IF($E141="","",J141*Parametros!$B$14*(1-M141))</f>
        <v/>
      </c>
      <c r="U141" s="18">
        <f>IF($E141="","",O141+Q141+S141)</f>
        <v/>
      </c>
      <c r="V141" s="18">
        <f>IF($E141="","",P141+R141+T141)</f>
        <v/>
      </c>
      <c r="W141" s="18">
        <f>IF($E141="","",ROUND(J141-N141-U141-V141,2))</f>
        <v/>
      </c>
    </row>
    <row r="142">
      <c r="A142" s="10" t="n"/>
      <c r="B142" s="10" t="n"/>
      <c r="C142" s="10" t="n"/>
      <c r="D142" s="28" t="n"/>
      <c r="E142" s="30" t="n"/>
      <c r="F142" s="30" t="n"/>
      <c r="G142" s="10" t="n"/>
      <c r="H142" s="10" t="n"/>
      <c r="I142" s="10" t="n"/>
      <c r="J142" s="18">
        <f>IF($E142="","",E142-F142)</f>
        <v/>
      </c>
      <c r="K142" s="31">
        <f>IF($A142="","",SUMIFS(Horas!$D:$D,Horas!$B:$B,$A142,Horas!$C:$C,Parametros!$B$5))</f>
        <v/>
      </c>
      <c r="L142" s="31">
        <f>IF($A142="","",SUMIFS(Horas!$D:$D,Horas!$B:$B,$A142,Horas!$C:$C,Parametros!$B$6))</f>
        <v/>
      </c>
      <c r="M142" s="22">
        <f>IF($E142="","",IF(N(K142)+N(L142)=0,Parametros!$C$5,N(K142)/(N(K142)+N(L142))))</f>
        <v/>
      </c>
      <c r="N142" s="18">
        <f>IF($E142="","",J142*Parametros!$B$11+IF(G142=Parametros!$B$16,J142*Parametros!$B$12,0))</f>
        <v/>
      </c>
      <c r="O142" s="18">
        <f>IF($E142="","",IF(G142=Parametros!$B$5,J142*Parametros!$B$12,0))</f>
        <v/>
      </c>
      <c r="P142" s="18">
        <f>IF($E142="","",IF(G142=Parametros!$B$6,J142*Parametros!$B$12,0))</f>
        <v/>
      </c>
      <c r="Q142" s="18">
        <f>IF($E142="","",IF(H142=Parametros!$B$5,J142*Parametros!$B$13,IF(H142=Parametros!$B$6,0,J142*Parametros!$B$13*Parametros!$C$5)))</f>
        <v/>
      </c>
      <c r="R142" s="18">
        <f>IF($E142="","",IF(H142=Parametros!$B$6,J142*Parametros!$B$13,IF(H142=Parametros!$B$5,0,J142*Parametros!$B$13*Parametros!$C$6)))</f>
        <v/>
      </c>
      <c r="S142" s="18">
        <f>IF($E142="","",J142*Parametros!$B$14*M142)</f>
        <v/>
      </c>
      <c r="T142" s="18">
        <f>IF($E142="","",J142*Parametros!$B$14*(1-M142))</f>
        <v/>
      </c>
      <c r="U142" s="18">
        <f>IF($E142="","",O142+Q142+S142)</f>
        <v/>
      </c>
      <c r="V142" s="18">
        <f>IF($E142="","",P142+R142+T142)</f>
        <v/>
      </c>
      <c r="W142" s="18">
        <f>IF($E142="","",ROUND(J142-N142-U142-V142,2))</f>
        <v/>
      </c>
    </row>
    <row r="143">
      <c r="A143" s="10" t="n"/>
      <c r="B143" s="10" t="n"/>
      <c r="C143" s="10" t="n"/>
      <c r="D143" s="28" t="n"/>
      <c r="E143" s="30" t="n"/>
      <c r="F143" s="30" t="n"/>
      <c r="G143" s="10" t="n"/>
      <c r="H143" s="10" t="n"/>
      <c r="I143" s="10" t="n"/>
      <c r="J143" s="18">
        <f>IF($E143="","",E143-F143)</f>
        <v/>
      </c>
      <c r="K143" s="31">
        <f>IF($A143="","",SUMIFS(Horas!$D:$D,Horas!$B:$B,$A143,Horas!$C:$C,Parametros!$B$5))</f>
        <v/>
      </c>
      <c r="L143" s="31">
        <f>IF($A143="","",SUMIFS(Horas!$D:$D,Horas!$B:$B,$A143,Horas!$C:$C,Parametros!$B$6))</f>
        <v/>
      </c>
      <c r="M143" s="22">
        <f>IF($E143="","",IF(N(K143)+N(L143)=0,Parametros!$C$5,N(K143)/(N(K143)+N(L143))))</f>
        <v/>
      </c>
      <c r="N143" s="18">
        <f>IF($E143="","",J143*Parametros!$B$11+IF(G143=Parametros!$B$16,J143*Parametros!$B$12,0))</f>
        <v/>
      </c>
      <c r="O143" s="18">
        <f>IF($E143="","",IF(G143=Parametros!$B$5,J143*Parametros!$B$12,0))</f>
        <v/>
      </c>
      <c r="P143" s="18">
        <f>IF($E143="","",IF(G143=Parametros!$B$6,J143*Parametros!$B$12,0))</f>
        <v/>
      </c>
      <c r="Q143" s="18">
        <f>IF($E143="","",IF(H143=Parametros!$B$5,J143*Parametros!$B$13,IF(H143=Parametros!$B$6,0,J143*Parametros!$B$13*Parametros!$C$5)))</f>
        <v/>
      </c>
      <c r="R143" s="18">
        <f>IF($E143="","",IF(H143=Parametros!$B$6,J143*Parametros!$B$13,IF(H143=Parametros!$B$5,0,J143*Parametros!$B$13*Parametros!$C$6)))</f>
        <v/>
      </c>
      <c r="S143" s="18">
        <f>IF($E143="","",J143*Parametros!$B$14*M143)</f>
        <v/>
      </c>
      <c r="T143" s="18">
        <f>IF($E143="","",J143*Parametros!$B$14*(1-M143))</f>
        <v/>
      </c>
      <c r="U143" s="18">
        <f>IF($E143="","",O143+Q143+S143)</f>
        <v/>
      </c>
      <c r="V143" s="18">
        <f>IF($E143="","",P143+R143+T143)</f>
        <v/>
      </c>
      <c r="W143" s="18">
        <f>IF($E143="","",ROUND(J143-N143-U143-V143,2))</f>
        <v/>
      </c>
    </row>
    <row r="144">
      <c r="A144" s="10" t="n"/>
      <c r="B144" s="10" t="n"/>
      <c r="C144" s="10" t="n"/>
      <c r="D144" s="28" t="n"/>
      <c r="E144" s="30" t="n"/>
      <c r="F144" s="30" t="n"/>
      <c r="G144" s="10" t="n"/>
      <c r="H144" s="10" t="n"/>
      <c r="I144" s="10" t="n"/>
      <c r="J144" s="18">
        <f>IF($E144="","",E144-F144)</f>
        <v/>
      </c>
      <c r="K144" s="31">
        <f>IF($A144="","",SUMIFS(Horas!$D:$D,Horas!$B:$B,$A144,Horas!$C:$C,Parametros!$B$5))</f>
        <v/>
      </c>
      <c r="L144" s="31">
        <f>IF($A144="","",SUMIFS(Horas!$D:$D,Horas!$B:$B,$A144,Horas!$C:$C,Parametros!$B$6))</f>
        <v/>
      </c>
      <c r="M144" s="22">
        <f>IF($E144="","",IF(N(K144)+N(L144)=0,Parametros!$C$5,N(K144)/(N(K144)+N(L144))))</f>
        <v/>
      </c>
      <c r="N144" s="18">
        <f>IF($E144="","",J144*Parametros!$B$11+IF(G144=Parametros!$B$16,J144*Parametros!$B$12,0))</f>
        <v/>
      </c>
      <c r="O144" s="18">
        <f>IF($E144="","",IF(G144=Parametros!$B$5,J144*Parametros!$B$12,0))</f>
        <v/>
      </c>
      <c r="P144" s="18">
        <f>IF($E144="","",IF(G144=Parametros!$B$6,J144*Parametros!$B$12,0))</f>
        <v/>
      </c>
      <c r="Q144" s="18">
        <f>IF($E144="","",IF(H144=Parametros!$B$5,J144*Parametros!$B$13,IF(H144=Parametros!$B$6,0,J144*Parametros!$B$13*Parametros!$C$5)))</f>
        <v/>
      </c>
      <c r="R144" s="18">
        <f>IF($E144="","",IF(H144=Parametros!$B$6,J144*Parametros!$B$13,IF(H144=Parametros!$B$5,0,J144*Parametros!$B$13*Parametros!$C$6)))</f>
        <v/>
      </c>
      <c r="S144" s="18">
        <f>IF($E144="","",J144*Parametros!$B$14*M144)</f>
        <v/>
      </c>
      <c r="T144" s="18">
        <f>IF($E144="","",J144*Parametros!$B$14*(1-M144))</f>
        <v/>
      </c>
      <c r="U144" s="18">
        <f>IF($E144="","",O144+Q144+S144)</f>
        <v/>
      </c>
      <c r="V144" s="18">
        <f>IF($E144="","",P144+R144+T144)</f>
        <v/>
      </c>
      <c r="W144" s="18">
        <f>IF($E144="","",ROUND(J144-N144-U144-V144,2))</f>
        <v/>
      </c>
    </row>
    <row r="145">
      <c r="A145" s="10" t="n"/>
      <c r="B145" s="10" t="n"/>
      <c r="C145" s="10" t="n"/>
      <c r="D145" s="28" t="n"/>
      <c r="E145" s="30" t="n"/>
      <c r="F145" s="30" t="n"/>
      <c r="G145" s="10" t="n"/>
      <c r="H145" s="10" t="n"/>
      <c r="I145" s="10" t="n"/>
      <c r="J145" s="18">
        <f>IF($E145="","",E145-F145)</f>
        <v/>
      </c>
      <c r="K145" s="31">
        <f>IF($A145="","",SUMIFS(Horas!$D:$D,Horas!$B:$B,$A145,Horas!$C:$C,Parametros!$B$5))</f>
        <v/>
      </c>
      <c r="L145" s="31">
        <f>IF($A145="","",SUMIFS(Horas!$D:$D,Horas!$B:$B,$A145,Horas!$C:$C,Parametros!$B$6))</f>
        <v/>
      </c>
      <c r="M145" s="22">
        <f>IF($E145="","",IF(N(K145)+N(L145)=0,Parametros!$C$5,N(K145)/(N(K145)+N(L145))))</f>
        <v/>
      </c>
      <c r="N145" s="18">
        <f>IF($E145="","",J145*Parametros!$B$11+IF(G145=Parametros!$B$16,J145*Parametros!$B$12,0))</f>
        <v/>
      </c>
      <c r="O145" s="18">
        <f>IF($E145="","",IF(G145=Parametros!$B$5,J145*Parametros!$B$12,0))</f>
        <v/>
      </c>
      <c r="P145" s="18">
        <f>IF($E145="","",IF(G145=Parametros!$B$6,J145*Parametros!$B$12,0))</f>
        <v/>
      </c>
      <c r="Q145" s="18">
        <f>IF($E145="","",IF(H145=Parametros!$B$5,J145*Parametros!$B$13,IF(H145=Parametros!$B$6,0,J145*Parametros!$B$13*Parametros!$C$5)))</f>
        <v/>
      </c>
      <c r="R145" s="18">
        <f>IF($E145="","",IF(H145=Parametros!$B$6,J145*Parametros!$B$13,IF(H145=Parametros!$B$5,0,J145*Parametros!$B$13*Parametros!$C$6)))</f>
        <v/>
      </c>
      <c r="S145" s="18">
        <f>IF($E145="","",J145*Parametros!$B$14*M145)</f>
        <v/>
      </c>
      <c r="T145" s="18">
        <f>IF($E145="","",J145*Parametros!$B$14*(1-M145))</f>
        <v/>
      </c>
      <c r="U145" s="18">
        <f>IF($E145="","",O145+Q145+S145)</f>
        <v/>
      </c>
      <c r="V145" s="18">
        <f>IF($E145="","",P145+R145+T145)</f>
        <v/>
      </c>
      <c r="W145" s="18">
        <f>IF($E145="","",ROUND(J145-N145-U145-V145,2))</f>
        <v/>
      </c>
    </row>
    <row r="146">
      <c r="A146" s="10" t="n"/>
      <c r="B146" s="10" t="n"/>
      <c r="C146" s="10" t="n"/>
      <c r="D146" s="28" t="n"/>
      <c r="E146" s="30" t="n"/>
      <c r="F146" s="30" t="n"/>
      <c r="G146" s="10" t="n"/>
      <c r="H146" s="10" t="n"/>
      <c r="I146" s="10" t="n"/>
      <c r="J146" s="18">
        <f>IF($E146="","",E146-F146)</f>
        <v/>
      </c>
      <c r="K146" s="31">
        <f>IF($A146="","",SUMIFS(Horas!$D:$D,Horas!$B:$B,$A146,Horas!$C:$C,Parametros!$B$5))</f>
        <v/>
      </c>
      <c r="L146" s="31">
        <f>IF($A146="","",SUMIFS(Horas!$D:$D,Horas!$B:$B,$A146,Horas!$C:$C,Parametros!$B$6))</f>
        <v/>
      </c>
      <c r="M146" s="22">
        <f>IF($E146="","",IF(N(K146)+N(L146)=0,Parametros!$C$5,N(K146)/(N(K146)+N(L146))))</f>
        <v/>
      </c>
      <c r="N146" s="18">
        <f>IF($E146="","",J146*Parametros!$B$11+IF(G146=Parametros!$B$16,J146*Parametros!$B$12,0))</f>
        <v/>
      </c>
      <c r="O146" s="18">
        <f>IF($E146="","",IF(G146=Parametros!$B$5,J146*Parametros!$B$12,0))</f>
        <v/>
      </c>
      <c r="P146" s="18">
        <f>IF($E146="","",IF(G146=Parametros!$B$6,J146*Parametros!$B$12,0))</f>
        <v/>
      </c>
      <c r="Q146" s="18">
        <f>IF($E146="","",IF(H146=Parametros!$B$5,J146*Parametros!$B$13,IF(H146=Parametros!$B$6,0,J146*Parametros!$B$13*Parametros!$C$5)))</f>
        <v/>
      </c>
      <c r="R146" s="18">
        <f>IF($E146="","",IF(H146=Parametros!$B$6,J146*Parametros!$B$13,IF(H146=Parametros!$B$5,0,J146*Parametros!$B$13*Parametros!$C$6)))</f>
        <v/>
      </c>
      <c r="S146" s="18">
        <f>IF($E146="","",J146*Parametros!$B$14*M146)</f>
        <v/>
      </c>
      <c r="T146" s="18">
        <f>IF($E146="","",J146*Parametros!$B$14*(1-M146))</f>
        <v/>
      </c>
      <c r="U146" s="18">
        <f>IF($E146="","",O146+Q146+S146)</f>
        <v/>
      </c>
      <c r="V146" s="18">
        <f>IF($E146="","",P146+R146+T146)</f>
        <v/>
      </c>
      <c r="W146" s="18">
        <f>IF($E146="","",ROUND(J146-N146-U146-V146,2))</f>
        <v/>
      </c>
    </row>
    <row r="147">
      <c r="A147" s="10" t="n"/>
      <c r="B147" s="10" t="n"/>
      <c r="C147" s="10" t="n"/>
      <c r="D147" s="28" t="n"/>
      <c r="E147" s="30" t="n"/>
      <c r="F147" s="30" t="n"/>
      <c r="G147" s="10" t="n"/>
      <c r="H147" s="10" t="n"/>
      <c r="I147" s="10" t="n"/>
      <c r="J147" s="18">
        <f>IF($E147="","",E147-F147)</f>
        <v/>
      </c>
      <c r="K147" s="31">
        <f>IF($A147="","",SUMIFS(Horas!$D:$D,Horas!$B:$B,$A147,Horas!$C:$C,Parametros!$B$5))</f>
        <v/>
      </c>
      <c r="L147" s="31">
        <f>IF($A147="","",SUMIFS(Horas!$D:$D,Horas!$B:$B,$A147,Horas!$C:$C,Parametros!$B$6))</f>
        <v/>
      </c>
      <c r="M147" s="22">
        <f>IF($E147="","",IF(N(K147)+N(L147)=0,Parametros!$C$5,N(K147)/(N(K147)+N(L147))))</f>
        <v/>
      </c>
      <c r="N147" s="18">
        <f>IF($E147="","",J147*Parametros!$B$11+IF(G147=Parametros!$B$16,J147*Parametros!$B$12,0))</f>
        <v/>
      </c>
      <c r="O147" s="18">
        <f>IF($E147="","",IF(G147=Parametros!$B$5,J147*Parametros!$B$12,0))</f>
        <v/>
      </c>
      <c r="P147" s="18">
        <f>IF($E147="","",IF(G147=Parametros!$B$6,J147*Parametros!$B$12,0))</f>
        <v/>
      </c>
      <c r="Q147" s="18">
        <f>IF($E147="","",IF(H147=Parametros!$B$5,J147*Parametros!$B$13,IF(H147=Parametros!$B$6,0,J147*Parametros!$B$13*Parametros!$C$5)))</f>
        <v/>
      </c>
      <c r="R147" s="18">
        <f>IF($E147="","",IF(H147=Parametros!$B$6,J147*Parametros!$B$13,IF(H147=Parametros!$B$5,0,J147*Parametros!$B$13*Parametros!$C$6)))</f>
        <v/>
      </c>
      <c r="S147" s="18">
        <f>IF($E147="","",J147*Parametros!$B$14*M147)</f>
        <v/>
      </c>
      <c r="T147" s="18">
        <f>IF($E147="","",J147*Parametros!$B$14*(1-M147))</f>
        <v/>
      </c>
      <c r="U147" s="18">
        <f>IF($E147="","",O147+Q147+S147)</f>
        <v/>
      </c>
      <c r="V147" s="18">
        <f>IF($E147="","",P147+R147+T147)</f>
        <v/>
      </c>
      <c r="W147" s="18">
        <f>IF($E147="","",ROUND(J147-N147-U147-V147,2))</f>
        <v/>
      </c>
    </row>
    <row r="148">
      <c r="A148" s="10" t="n"/>
      <c r="B148" s="10" t="n"/>
      <c r="C148" s="10" t="n"/>
      <c r="D148" s="28" t="n"/>
      <c r="E148" s="30" t="n"/>
      <c r="F148" s="30" t="n"/>
      <c r="G148" s="10" t="n"/>
      <c r="H148" s="10" t="n"/>
      <c r="I148" s="10" t="n"/>
      <c r="J148" s="18">
        <f>IF($E148="","",E148-F148)</f>
        <v/>
      </c>
      <c r="K148" s="31">
        <f>IF($A148="","",SUMIFS(Horas!$D:$D,Horas!$B:$B,$A148,Horas!$C:$C,Parametros!$B$5))</f>
        <v/>
      </c>
      <c r="L148" s="31">
        <f>IF($A148="","",SUMIFS(Horas!$D:$D,Horas!$B:$B,$A148,Horas!$C:$C,Parametros!$B$6))</f>
        <v/>
      </c>
      <c r="M148" s="22">
        <f>IF($E148="","",IF(N(K148)+N(L148)=0,Parametros!$C$5,N(K148)/(N(K148)+N(L148))))</f>
        <v/>
      </c>
      <c r="N148" s="18">
        <f>IF($E148="","",J148*Parametros!$B$11+IF(G148=Parametros!$B$16,J148*Parametros!$B$12,0))</f>
        <v/>
      </c>
      <c r="O148" s="18">
        <f>IF($E148="","",IF(G148=Parametros!$B$5,J148*Parametros!$B$12,0))</f>
        <v/>
      </c>
      <c r="P148" s="18">
        <f>IF($E148="","",IF(G148=Parametros!$B$6,J148*Parametros!$B$12,0))</f>
        <v/>
      </c>
      <c r="Q148" s="18">
        <f>IF($E148="","",IF(H148=Parametros!$B$5,J148*Parametros!$B$13,IF(H148=Parametros!$B$6,0,J148*Parametros!$B$13*Parametros!$C$5)))</f>
        <v/>
      </c>
      <c r="R148" s="18">
        <f>IF($E148="","",IF(H148=Parametros!$B$6,J148*Parametros!$B$13,IF(H148=Parametros!$B$5,0,J148*Parametros!$B$13*Parametros!$C$6)))</f>
        <v/>
      </c>
      <c r="S148" s="18">
        <f>IF($E148="","",J148*Parametros!$B$14*M148)</f>
        <v/>
      </c>
      <c r="T148" s="18">
        <f>IF($E148="","",J148*Parametros!$B$14*(1-M148))</f>
        <v/>
      </c>
      <c r="U148" s="18">
        <f>IF($E148="","",O148+Q148+S148)</f>
        <v/>
      </c>
      <c r="V148" s="18">
        <f>IF($E148="","",P148+R148+T148)</f>
        <v/>
      </c>
      <c r="W148" s="18">
        <f>IF($E148="","",ROUND(J148-N148-U148-V148,2))</f>
        <v/>
      </c>
    </row>
    <row r="149">
      <c r="A149" s="10" t="n"/>
      <c r="B149" s="10" t="n"/>
      <c r="C149" s="10" t="n"/>
      <c r="D149" s="28" t="n"/>
      <c r="E149" s="30" t="n"/>
      <c r="F149" s="30" t="n"/>
      <c r="G149" s="10" t="n"/>
      <c r="H149" s="10" t="n"/>
      <c r="I149" s="10" t="n"/>
      <c r="J149" s="18">
        <f>IF($E149="","",E149-F149)</f>
        <v/>
      </c>
      <c r="K149" s="31">
        <f>IF($A149="","",SUMIFS(Horas!$D:$D,Horas!$B:$B,$A149,Horas!$C:$C,Parametros!$B$5))</f>
        <v/>
      </c>
      <c r="L149" s="31">
        <f>IF($A149="","",SUMIFS(Horas!$D:$D,Horas!$B:$B,$A149,Horas!$C:$C,Parametros!$B$6))</f>
        <v/>
      </c>
      <c r="M149" s="22">
        <f>IF($E149="","",IF(N(K149)+N(L149)=0,Parametros!$C$5,N(K149)/(N(K149)+N(L149))))</f>
        <v/>
      </c>
      <c r="N149" s="18">
        <f>IF($E149="","",J149*Parametros!$B$11+IF(G149=Parametros!$B$16,J149*Parametros!$B$12,0))</f>
        <v/>
      </c>
      <c r="O149" s="18">
        <f>IF($E149="","",IF(G149=Parametros!$B$5,J149*Parametros!$B$12,0))</f>
        <v/>
      </c>
      <c r="P149" s="18">
        <f>IF($E149="","",IF(G149=Parametros!$B$6,J149*Parametros!$B$12,0))</f>
        <v/>
      </c>
      <c r="Q149" s="18">
        <f>IF($E149="","",IF(H149=Parametros!$B$5,J149*Parametros!$B$13,IF(H149=Parametros!$B$6,0,J149*Parametros!$B$13*Parametros!$C$5)))</f>
        <v/>
      </c>
      <c r="R149" s="18">
        <f>IF($E149="","",IF(H149=Parametros!$B$6,J149*Parametros!$B$13,IF(H149=Parametros!$B$5,0,J149*Parametros!$B$13*Parametros!$C$6)))</f>
        <v/>
      </c>
      <c r="S149" s="18">
        <f>IF($E149="","",J149*Parametros!$B$14*M149)</f>
        <v/>
      </c>
      <c r="T149" s="18">
        <f>IF($E149="","",J149*Parametros!$B$14*(1-M149))</f>
        <v/>
      </c>
      <c r="U149" s="18">
        <f>IF($E149="","",O149+Q149+S149)</f>
        <v/>
      </c>
      <c r="V149" s="18">
        <f>IF($E149="","",P149+R149+T149)</f>
        <v/>
      </c>
      <c r="W149" s="18">
        <f>IF($E149="","",ROUND(J149-N149-U149-V149,2))</f>
        <v/>
      </c>
    </row>
    <row r="150">
      <c r="A150" s="10" t="n"/>
      <c r="B150" s="10" t="n"/>
      <c r="C150" s="10" t="n"/>
      <c r="D150" s="28" t="n"/>
      <c r="E150" s="30" t="n"/>
      <c r="F150" s="30" t="n"/>
      <c r="G150" s="10" t="n"/>
      <c r="H150" s="10" t="n"/>
      <c r="I150" s="10" t="n"/>
      <c r="J150" s="18">
        <f>IF($E150="","",E150-F150)</f>
        <v/>
      </c>
      <c r="K150" s="31">
        <f>IF($A150="","",SUMIFS(Horas!$D:$D,Horas!$B:$B,$A150,Horas!$C:$C,Parametros!$B$5))</f>
        <v/>
      </c>
      <c r="L150" s="31">
        <f>IF($A150="","",SUMIFS(Horas!$D:$D,Horas!$B:$B,$A150,Horas!$C:$C,Parametros!$B$6))</f>
        <v/>
      </c>
      <c r="M150" s="22">
        <f>IF($E150="","",IF(N(K150)+N(L150)=0,Parametros!$C$5,N(K150)/(N(K150)+N(L150))))</f>
        <v/>
      </c>
      <c r="N150" s="18">
        <f>IF($E150="","",J150*Parametros!$B$11+IF(G150=Parametros!$B$16,J150*Parametros!$B$12,0))</f>
        <v/>
      </c>
      <c r="O150" s="18">
        <f>IF($E150="","",IF(G150=Parametros!$B$5,J150*Parametros!$B$12,0))</f>
        <v/>
      </c>
      <c r="P150" s="18">
        <f>IF($E150="","",IF(G150=Parametros!$B$6,J150*Parametros!$B$12,0))</f>
        <v/>
      </c>
      <c r="Q150" s="18">
        <f>IF($E150="","",IF(H150=Parametros!$B$5,J150*Parametros!$B$13,IF(H150=Parametros!$B$6,0,J150*Parametros!$B$13*Parametros!$C$5)))</f>
        <v/>
      </c>
      <c r="R150" s="18">
        <f>IF($E150="","",IF(H150=Parametros!$B$6,J150*Parametros!$B$13,IF(H150=Parametros!$B$5,0,J150*Parametros!$B$13*Parametros!$C$6)))</f>
        <v/>
      </c>
      <c r="S150" s="18">
        <f>IF($E150="","",J150*Parametros!$B$14*M150)</f>
        <v/>
      </c>
      <c r="T150" s="18">
        <f>IF($E150="","",J150*Parametros!$B$14*(1-M150))</f>
        <v/>
      </c>
      <c r="U150" s="18">
        <f>IF($E150="","",O150+Q150+S150)</f>
        <v/>
      </c>
      <c r="V150" s="18">
        <f>IF($E150="","",P150+R150+T150)</f>
        <v/>
      </c>
      <c r="W150" s="18">
        <f>IF($E150="","",ROUND(J150-N150-U150-V150,2))</f>
        <v/>
      </c>
    </row>
    <row r="151">
      <c r="A151" s="10" t="n"/>
      <c r="B151" s="10" t="n"/>
      <c r="C151" s="10" t="n"/>
      <c r="D151" s="28" t="n"/>
      <c r="E151" s="30" t="n"/>
      <c r="F151" s="30" t="n"/>
      <c r="G151" s="10" t="n"/>
      <c r="H151" s="10" t="n"/>
      <c r="I151" s="10" t="n"/>
      <c r="J151" s="18">
        <f>IF($E151="","",E151-F151)</f>
        <v/>
      </c>
      <c r="K151" s="31">
        <f>IF($A151="","",SUMIFS(Horas!$D:$D,Horas!$B:$B,$A151,Horas!$C:$C,Parametros!$B$5))</f>
        <v/>
      </c>
      <c r="L151" s="31">
        <f>IF($A151="","",SUMIFS(Horas!$D:$D,Horas!$B:$B,$A151,Horas!$C:$C,Parametros!$B$6))</f>
        <v/>
      </c>
      <c r="M151" s="22">
        <f>IF($E151="","",IF(N(K151)+N(L151)=0,Parametros!$C$5,N(K151)/(N(K151)+N(L151))))</f>
        <v/>
      </c>
      <c r="N151" s="18">
        <f>IF($E151="","",J151*Parametros!$B$11+IF(G151=Parametros!$B$16,J151*Parametros!$B$12,0))</f>
        <v/>
      </c>
      <c r="O151" s="18">
        <f>IF($E151="","",IF(G151=Parametros!$B$5,J151*Parametros!$B$12,0))</f>
        <v/>
      </c>
      <c r="P151" s="18">
        <f>IF($E151="","",IF(G151=Parametros!$B$6,J151*Parametros!$B$12,0))</f>
        <v/>
      </c>
      <c r="Q151" s="18">
        <f>IF($E151="","",IF(H151=Parametros!$B$5,J151*Parametros!$B$13,IF(H151=Parametros!$B$6,0,J151*Parametros!$B$13*Parametros!$C$5)))</f>
        <v/>
      </c>
      <c r="R151" s="18">
        <f>IF($E151="","",IF(H151=Parametros!$B$6,J151*Parametros!$B$13,IF(H151=Parametros!$B$5,0,J151*Parametros!$B$13*Parametros!$C$6)))</f>
        <v/>
      </c>
      <c r="S151" s="18">
        <f>IF($E151="","",J151*Parametros!$B$14*M151)</f>
        <v/>
      </c>
      <c r="T151" s="18">
        <f>IF($E151="","",J151*Parametros!$B$14*(1-M151))</f>
        <v/>
      </c>
      <c r="U151" s="18">
        <f>IF($E151="","",O151+Q151+S151)</f>
        <v/>
      </c>
      <c r="V151" s="18">
        <f>IF($E151="","",P151+R151+T151)</f>
        <v/>
      </c>
      <c r="W151" s="18">
        <f>IF($E151="","",ROUND(J151-N151-U151-V151,2))</f>
        <v/>
      </c>
    </row>
    <row r="152">
      <c r="A152" s="10" t="n"/>
      <c r="B152" s="10" t="n"/>
      <c r="C152" s="10" t="n"/>
      <c r="D152" s="28" t="n"/>
      <c r="E152" s="30" t="n"/>
      <c r="F152" s="30" t="n"/>
      <c r="G152" s="10" t="n"/>
      <c r="H152" s="10" t="n"/>
      <c r="I152" s="10" t="n"/>
      <c r="J152" s="18">
        <f>IF($E152="","",E152-F152)</f>
        <v/>
      </c>
      <c r="K152" s="31">
        <f>IF($A152="","",SUMIFS(Horas!$D:$D,Horas!$B:$B,$A152,Horas!$C:$C,Parametros!$B$5))</f>
        <v/>
      </c>
      <c r="L152" s="31">
        <f>IF($A152="","",SUMIFS(Horas!$D:$D,Horas!$B:$B,$A152,Horas!$C:$C,Parametros!$B$6))</f>
        <v/>
      </c>
      <c r="M152" s="22">
        <f>IF($E152="","",IF(N(K152)+N(L152)=0,Parametros!$C$5,N(K152)/(N(K152)+N(L152))))</f>
        <v/>
      </c>
      <c r="N152" s="18">
        <f>IF($E152="","",J152*Parametros!$B$11+IF(G152=Parametros!$B$16,J152*Parametros!$B$12,0))</f>
        <v/>
      </c>
      <c r="O152" s="18">
        <f>IF($E152="","",IF(G152=Parametros!$B$5,J152*Parametros!$B$12,0))</f>
        <v/>
      </c>
      <c r="P152" s="18">
        <f>IF($E152="","",IF(G152=Parametros!$B$6,J152*Parametros!$B$12,0))</f>
        <v/>
      </c>
      <c r="Q152" s="18">
        <f>IF($E152="","",IF(H152=Parametros!$B$5,J152*Parametros!$B$13,IF(H152=Parametros!$B$6,0,J152*Parametros!$B$13*Parametros!$C$5)))</f>
        <v/>
      </c>
      <c r="R152" s="18">
        <f>IF($E152="","",IF(H152=Parametros!$B$6,J152*Parametros!$B$13,IF(H152=Parametros!$B$5,0,J152*Parametros!$B$13*Parametros!$C$6)))</f>
        <v/>
      </c>
      <c r="S152" s="18">
        <f>IF($E152="","",J152*Parametros!$B$14*M152)</f>
        <v/>
      </c>
      <c r="T152" s="18">
        <f>IF($E152="","",J152*Parametros!$B$14*(1-M152))</f>
        <v/>
      </c>
      <c r="U152" s="18">
        <f>IF($E152="","",O152+Q152+S152)</f>
        <v/>
      </c>
      <c r="V152" s="18">
        <f>IF($E152="","",P152+R152+T152)</f>
        <v/>
      </c>
      <c r="W152" s="18">
        <f>IF($E152="","",ROUND(J152-N152-U152-V152,2))</f>
        <v/>
      </c>
    </row>
    <row r="153">
      <c r="A153" s="10" t="n"/>
      <c r="B153" s="10" t="n"/>
      <c r="C153" s="10" t="n"/>
      <c r="D153" s="28" t="n"/>
      <c r="E153" s="30" t="n"/>
      <c r="F153" s="30" t="n"/>
      <c r="G153" s="10" t="n"/>
      <c r="H153" s="10" t="n"/>
      <c r="I153" s="10" t="n"/>
      <c r="J153" s="18">
        <f>IF($E153="","",E153-F153)</f>
        <v/>
      </c>
      <c r="K153" s="31">
        <f>IF($A153="","",SUMIFS(Horas!$D:$D,Horas!$B:$B,$A153,Horas!$C:$C,Parametros!$B$5))</f>
        <v/>
      </c>
      <c r="L153" s="31">
        <f>IF($A153="","",SUMIFS(Horas!$D:$D,Horas!$B:$B,$A153,Horas!$C:$C,Parametros!$B$6))</f>
        <v/>
      </c>
      <c r="M153" s="22">
        <f>IF($E153="","",IF(N(K153)+N(L153)=0,Parametros!$C$5,N(K153)/(N(K153)+N(L153))))</f>
        <v/>
      </c>
      <c r="N153" s="18">
        <f>IF($E153="","",J153*Parametros!$B$11+IF(G153=Parametros!$B$16,J153*Parametros!$B$12,0))</f>
        <v/>
      </c>
      <c r="O153" s="18">
        <f>IF($E153="","",IF(G153=Parametros!$B$5,J153*Parametros!$B$12,0))</f>
        <v/>
      </c>
      <c r="P153" s="18">
        <f>IF($E153="","",IF(G153=Parametros!$B$6,J153*Parametros!$B$12,0))</f>
        <v/>
      </c>
      <c r="Q153" s="18">
        <f>IF($E153="","",IF(H153=Parametros!$B$5,J153*Parametros!$B$13,IF(H153=Parametros!$B$6,0,J153*Parametros!$B$13*Parametros!$C$5)))</f>
        <v/>
      </c>
      <c r="R153" s="18">
        <f>IF($E153="","",IF(H153=Parametros!$B$6,J153*Parametros!$B$13,IF(H153=Parametros!$B$5,0,J153*Parametros!$B$13*Parametros!$C$6)))</f>
        <v/>
      </c>
      <c r="S153" s="18">
        <f>IF($E153="","",J153*Parametros!$B$14*M153)</f>
        <v/>
      </c>
      <c r="T153" s="18">
        <f>IF($E153="","",J153*Parametros!$B$14*(1-M153))</f>
        <v/>
      </c>
      <c r="U153" s="18">
        <f>IF($E153="","",O153+Q153+S153)</f>
        <v/>
      </c>
      <c r="V153" s="18">
        <f>IF($E153="","",P153+R153+T153)</f>
        <v/>
      </c>
      <c r="W153" s="18">
        <f>IF($E153="","",ROUND(J153-N153-U153-V153,2))</f>
        <v/>
      </c>
    </row>
    <row r="154">
      <c r="A154" s="10" t="n"/>
      <c r="B154" s="10" t="n"/>
      <c r="C154" s="10" t="n"/>
      <c r="D154" s="28" t="n"/>
      <c r="E154" s="30" t="n"/>
      <c r="F154" s="30" t="n"/>
      <c r="G154" s="10" t="n"/>
      <c r="H154" s="10" t="n"/>
      <c r="I154" s="10" t="n"/>
      <c r="J154" s="18">
        <f>IF($E154="","",E154-F154)</f>
        <v/>
      </c>
      <c r="K154" s="31">
        <f>IF($A154="","",SUMIFS(Horas!$D:$D,Horas!$B:$B,$A154,Horas!$C:$C,Parametros!$B$5))</f>
        <v/>
      </c>
      <c r="L154" s="31">
        <f>IF($A154="","",SUMIFS(Horas!$D:$D,Horas!$B:$B,$A154,Horas!$C:$C,Parametros!$B$6))</f>
        <v/>
      </c>
      <c r="M154" s="22">
        <f>IF($E154="","",IF(N(K154)+N(L154)=0,Parametros!$C$5,N(K154)/(N(K154)+N(L154))))</f>
        <v/>
      </c>
      <c r="N154" s="18">
        <f>IF($E154="","",J154*Parametros!$B$11+IF(G154=Parametros!$B$16,J154*Parametros!$B$12,0))</f>
        <v/>
      </c>
      <c r="O154" s="18">
        <f>IF($E154="","",IF(G154=Parametros!$B$5,J154*Parametros!$B$12,0))</f>
        <v/>
      </c>
      <c r="P154" s="18">
        <f>IF($E154="","",IF(G154=Parametros!$B$6,J154*Parametros!$B$12,0))</f>
        <v/>
      </c>
      <c r="Q154" s="18">
        <f>IF($E154="","",IF(H154=Parametros!$B$5,J154*Parametros!$B$13,IF(H154=Parametros!$B$6,0,J154*Parametros!$B$13*Parametros!$C$5)))</f>
        <v/>
      </c>
      <c r="R154" s="18">
        <f>IF($E154="","",IF(H154=Parametros!$B$6,J154*Parametros!$B$13,IF(H154=Parametros!$B$5,0,J154*Parametros!$B$13*Parametros!$C$6)))</f>
        <v/>
      </c>
      <c r="S154" s="18">
        <f>IF($E154="","",J154*Parametros!$B$14*M154)</f>
        <v/>
      </c>
      <c r="T154" s="18">
        <f>IF($E154="","",J154*Parametros!$B$14*(1-M154))</f>
        <v/>
      </c>
      <c r="U154" s="18">
        <f>IF($E154="","",O154+Q154+S154)</f>
        <v/>
      </c>
      <c r="V154" s="18">
        <f>IF($E154="","",P154+R154+T154)</f>
        <v/>
      </c>
      <c r="W154" s="18">
        <f>IF($E154="","",ROUND(J154-N154-U154-V154,2))</f>
        <v/>
      </c>
    </row>
    <row r="155">
      <c r="A155" s="10" t="n"/>
      <c r="B155" s="10" t="n"/>
      <c r="C155" s="10" t="n"/>
      <c r="D155" s="28" t="n"/>
      <c r="E155" s="30" t="n"/>
      <c r="F155" s="30" t="n"/>
      <c r="G155" s="10" t="n"/>
      <c r="H155" s="10" t="n"/>
      <c r="I155" s="10" t="n"/>
      <c r="J155" s="18">
        <f>IF($E155="","",E155-F155)</f>
        <v/>
      </c>
      <c r="K155" s="31">
        <f>IF($A155="","",SUMIFS(Horas!$D:$D,Horas!$B:$B,$A155,Horas!$C:$C,Parametros!$B$5))</f>
        <v/>
      </c>
      <c r="L155" s="31">
        <f>IF($A155="","",SUMIFS(Horas!$D:$D,Horas!$B:$B,$A155,Horas!$C:$C,Parametros!$B$6))</f>
        <v/>
      </c>
      <c r="M155" s="22">
        <f>IF($E155="","",IF(N(K155)+N(L155)=0,Parametros!$C$5,N(K155)/(N(K155)+N(L155))))</f>
        <v/>
      </c>
      <c r="N155" s="18">
        <f>IF($E155="","",J155*Parametros!$B$11+IF(G155=Parametros!$B$16,J155*Parametros!$B$12,0))</f>
        <v/>
      </c>
      <c r="O155" s="18">
        <f>IF($E155="","",IF(G155=Parametros!$B$5,J155*Parametros!$B$12,0))</f>
        <v/>
      </c>
      <c r="P155" s="18">
        <f>IF($E155="","",IF(G155=Parametros!$B$6,J155*Parametros!$B$12,0))</f>
        <v/>
      </c>
      <c r="Q155" s="18">
        <f>IF($E155="","",IF(H155=Parametros!$B$5,J155*Parametros!$B$13,IF(H155=Parametros!$B$6,0,J155*Parametros!$B$13*Parametros!$C$5)))</f>
        <v/>
      </c>
      <c r="R155" s="18">
        <f>IF($E155="","",IF(H155=Parametros!$B$6,J155*Parametros!$B$13,IF(H155=Parametros!$B$5,0,J155*Parametros!$B$13*Parametros!$C$6)))</f>
        <v/>
      </c>
      <c r="S155" s="18">
        <f>IF($E155="","",J155*Parametros!$B$14*M155)</f>
        <v/>
      </c>
      <c r="T155" s="18">
        <f>IF($E155="","",J155*Parametros!$B$14*(1-M155))</f>
        <v/>
      </c>
      <c r="U155" s="18">
        <f>IF($E155="","",O155+Q155+S155)</f>
        <v/>
      </c>
      <c r="V155" s="18">
        <f>IF($E155="","",P155+R155+T155)</f>
        <v/>
      </c>
      <c r="W155" s="18">
        <f>IF($E155="","",ROUND(J155-N155-U155-V155,2))</f>
        <v/>
      </c>
    </row>
    <row r="156">
      <c r="A156" s="10" t="n"/>
      <c r="B156" s="10" t="n"/>
      <c r="C156" s="10" t="n"/>
      <c r="D156" s="28" t="n"/>
      <c r="E156" s="30" t="n"/>
      <c r="F156" s="30" t="n"/>
      <c r="G156" s="10" t="n"/>
      <c r="H156" s="10" t="n"/>
      <c r="I156" s="10" t="n"/>
      <c r="J156" s="18">
        <f>IF($E156="","",E156-F156)</f>
        <v/>
      </c>
      <c r="K156" s="31">
        <f>IF($A156="","",SUMIFS(Horas!$D:$D,Horas!$B:$B,$A156,Horas!$C:$C,Parametros!$B$5))</f>
        <v/>
      </c>
      <c r="L156" s="31">
        <f>IF($A156="","",SUMIFS(Horas!$D:$D,Horas!$B:$B,$A156,Horas!$C:$C,Parametros!$B$6))</f>
        <v/>
      </c>
      <c r="M156" s="22">
        <f>IF($E156="","",IF(N(K156)+N(L156)=0,Parametros!$C$5,N(K156)/(N(K156)+N(L156))))</f>
        <v/>
      </c>
      <c r="N156" s="18">
        <f>IF($E156="","",J156*Parametros!$B$11+IF(G156=Parametros!$B$16,J156*Parametros!$B$12,0))</f>
        <v/>
      </c>
      <c r="O156" s="18">
        <f>IF($E156="","",IF(G156=Parametros!$B$5,J156*Parametros!$B$12,0))</f>
        <v/>
      </c>
      <c r="P156" s="18">
        <f>IF($E156="","",IF(G156=Parametros!$B$6,J156*Parametros!$B$12,0))</f>
        <v/>
      </c>
      <c r="Q156" s="18">
        <f>IF($E156="","",IF(H156=Parametros!$B$5,J156*Parametros!$B$13,IF(H156=Parametros!$B$6,0,J156*Parametros!$B$13*Parametros!$C$5)))</f>
        <v/>
      </c>
      <c r="R156" s="18">
        <f>IF($E156="","",IF(H156=Parametros!$B$6,J156*Parametros!$B$13,IF(H156=Parametros!$B$5,0,J156*Parametros!$B$13*Parametros!$C$6)))</f>
        <v/>
      </c>
      <c r="S156" s="18">
        <f>IF($E156="","",J156*Parametros!$B$14*M156)</f>
        <v/>
      </c>
      <c r="T156" s="18">
        <f>IF($E156="","",J156*Parametros!$B$14*(1-M156))</f>
        <v/>
      </c>
      <c r="U156" s="18">
        <f>IF($E156="","",O156+Q156+S156)</f>
        <v/>
      </c>
      <c r="V156" s="18">
        <f>IF($E156="","",P156+R156+T156)</f>
        <v/>
      </c>
      <c r="W156" s="18">
        <f>IF($E156="","",ROUND(J156-N156-U156-V156,2))</f>
        <v/>
      </c>
    </row>
    <row r="157">
      <c r="A157" s="10" t="n"/>
      <c r="B157" s="10" t="n"/>
      <c r="C157" s="10" t="n"/>
      <c r="D157" s="28" t="n"/>
      <c r="E157" s="30" t="n"/>
      <c r="F157" s="30" t="n"/>
      <c r="G157" s="10" t="n"/>
      <c r="H157" s="10" t="n"/>
      <c r="I157" s="10" t="n"/>
      <c r="J157" s="18">
        <f>IF($E157="","",E157-F157)</f>
        <v/>
      </c>
      <c r="K157" s="31">
        <f>IF($A157="","",SUMIFS(Horas!$D:$D,Horas!$B:$B,$A157,Horas!$C:$C,Parametros!$B$5))</f>
        <v/>
      </c>
      <c r="L157" s="31">
        <f>IF($A157="","",SUMIFS(Horas!$D:$D,Horas!$B:$B,$A157,Horas!$C:$C,Parametros!$B$6))</f>
        <v/>
      </c>
      <c r="M157" s="22">
        <f>IF($E157="","",IF(N(K157)+N(L157)=0,Parametros!$C$5,N(K157)/(N(K157)+N(L157))))</f>
        <v/>
      </c>
      <c r="N157" s="18">
        <f>IF($E157="","",J157*Parametros!$B$11+IF(G157=Parametros!$B$16,J157*Parametros!$B$12,0))</f>
        <v/>
      </c>
      <c r="O157" s="18">
        <f>IF($E157="","",IF(G157=Parametros!$B$5,J157*Parametros!$B$12,0))</f>
        <v/>
      </c>
      <c r="P157" s="18">
        <f>IF($E157="","",IF(G157=Parametros!$B$6,J157*Parametros!$B$12,0))</f>
        <v/>
      </c>
      <c r="Q157" s="18">
        <f>IF($E157="","",IF(H157=Parametros!$B$5,J157*Parametros!$B$13,IF(H157=Parametros!$B$6,0,J157*Parametros!$B$13*Parametros!$C$5)))</f>
        <v/>
      </c>
      <c r="R157" s="18">
        <f>IF($E157="","",IF(H157=Parametros!$B$6,J157*Parametros!$B$13,IF(H157=Parametros!$B$5,0,J157*Parametros!$B$13*Parametros!$C$6)))</f>
        <v/>
      </c>
      <c r="S157" s="18">
        <f>IF($E157="","",J157*Parametros!$B$14*M157)</f>
        <v/>
      </c>
      <c r="T157" s="18">
        <f>IF($E157="","",J157*Parametros!$B$14*(1-M157))</f>
        <v/>
      </c>
      <c r="U157" s="18">
        <f>IF($E157="","",O157+Q157+S157)</f>
        <v/>
      </c>
      <c r="V157" s="18">
        <f>IF($E157="","",P157+R157+T157)</f>
        <v/>
      </c>
      <c r="W157" s="18">
        <f>IF($E157="","",ROUND(J157-N157-U157-V157,2))</f>
        <v/>
      </c>
    </row>
    <row r="158">
      <c r="A158" s="10" t="n"/>
      <c r="B158" s="10" t="n"/>
      <c r="C158" s="10" t="n"/>
      <c r="D158" s="28" t="n"/>
      <c r="E158" s="30" t="n"/>
      <c r="F158" s="30" t="n"/>
      <c r="G158" s="10" t="n"/>
      <c r="H158" s="10" t="n"/>
      <c r="I158" s="10" t="n"/>
      <c r="J158" s="18">
        <f>IF($E158="","",E158-F158)</f>
        <v/>
      </c>
      <c r="K158" s="31">
        <f>IF($A158="","",SUMIFS(Horas!$D:$D,Horas!$B:$B,$A158,Horas!$C:$C,Parametros!$B$5))</f>
        <v/>
      </c>
      <c r="L158" s="31">
        <f>IF($A158="","",SUMIFS(Horas!$D:$D,Horas!$B:$B,$A158,Horas!$C:$C,Parametros!$B$6))</f>
        <v/>
      </c>
      <c r="M158" s="22">
        <f>IF($E158="","",IF(N(K158)+N(L158)=0,Parametros!$C$5,N(K158)/(N(K158)+N(L158))))</f>
        <v/>
      </c>
      <c r="N158" s="18">
        <f>IF($E158="","",J158*Parametros!$B$11+IF(G158=Parametros!$B$16,J158*Parametros!$B$12,0))</f>
        <v/>
      </c>
      <c r="O158" s="18">
        <f>IF($E158="","",IF(G158=Parametros!$B$5,J158*Parametros!$B$12,0))</f>
        <v/>
      </c>
      <c r="P158" s="18">
        <f>IF($E158="","",IF(G158=Parametros!$B$6,J158*Parametros!$B$12,0))</f>
        <v/>
      </c>
      <c r="Q158" s="18">
        <f>IF($E158="","",IF(H158=Parametros!$B$5,J158*Parametros!$B$13,IF(H158=Parametros!$B$6,0,J158*Parametros!$B$13*Parametros!$C$5)))</f>
        <v/>
      </c>
      <c r="R158" s="18">
        <f>IF($E158="","",IF(H158=Parametros!$B$6,J158*Parametros!$B$13,IF(H158=Parametros!$B$5,0,J158*Parametros!$B$13*Parametros!$C$6)))</f>
        <v/>
      </c>
      <c r="S158" s="18">
        <f>IF($E158="","",J158*Parametros!$B$14*M158)</f>
        <v/>
      </c>
      <c r="T158" s="18">
        <f>IF($E158="","",J158*Parametros!$B$14*(1-M158))</f>
        <v/>
      </c>
      <c r="U158" s="18">
        <f>IF($E158="","",O158+Q158+S158)</f>
        <v/>
      </c>
      <c r="V158" s="18">
        <f>IF($E158="","",P158+R158+T158)</f>
        <v/>
      </c>
      <c r="W158" s="18">
        <f>IF($E158="","",ROUND(J158-N158-U158-V158,2))</f>
        <v/>
      </c>
    </row>
    <row r="159">
      <c r="A159" s="10" t="n"/>
      <c r="B159" s="10" t="n"/>
      <c r="C159" s="10" t="n"/>
      <c r="D159" s="28" t="n"/>
      <c r="E159" s="30" t="n"/>
      <c r="F159" s="30" t="n"/>
      <c r="G159" s="10" t="n"/>
      <c r="H159" s="10" t="n"/>
      <c r="I159" s="10" t="n"/>
      <c r="J159" s="18">
        <f>IF($E159="","",E159-F159)</f>
        <v/>
      </c>
      <c r="K159" s="31">
        <f>IF($A159="","",SUMIFS(Horas!$D:$D,Horas!$B:$B,$A159,Horas!$C:$C,Parametros!$B$5))</f>
        <v/>
      </c>
      <c r="L159" s="31">
        <f>IF($A159="","",SUMIFS(Horas!$D:$D,Horas!$B:$B,$A159,Horas!$C:$C,Parametros!$B$6))</f>
        <v/>
      </c>
      <c r="M159" s="22">
        <f>IF($E159="","",IF(N(K159)+N(L159)=0,Parametros!$C$5,N(K159)/(N(K159)+N(L159))))</f>
        <v/>
      </c>
      <c r="N159" s="18">
        <f>IF($E159="","",J159*Parametros!$B$11+IF(G159=Parametros!$B$16,J159*Parametros!$B$12,0))</f>
        <v/>
      </c>
      <c r="O159" s="18">
        <f>IF($E159="","",IF(G159=Parametros!$B$5,J159*Parametros!$B$12,0))</f>
        <v/>
      </c>
      <c r="P159" s="18">
        <f>IF($E159="","",IF(G159=Parametros!$B$6,J159*Parametros!$B$12,0))</f>
        <v/>
      </c>
      <c r="Q159" s="18">
        <f>IF($E159="","",IF(H159=Parametros!$B$5,J159*Parametros!$B$13,IF(H159=Parametros!$B$6,0,J159*Parametros!$B$13*Parametros!$C$5)))</f>
        <v/>
      </c>
      <c r="R159" s="18">
        <f>IF($E159="","",IF(H159=Parametros!$B$6,J159*Parametros!$B$13,IF(H159=Parametros!$B$5,0,J159*Parametros!$B$13*Parametros!$C$6)))</f>
        <v/>
      </c>
      <c r="S159" s="18">
        <f>IF($E159="","",J159*Parametros!$B$14*M159)</f>
        <v/>
      </c>
      <c r="T159" s="18">
        <f>IF($E159="","",J159*Parametros!$B$14*(1-M159))</f>
        <v/>
      </c>
      <c r="U159" s="18">
        <f>IF($E159="","",O159+Q159+S159)</f>
        <v/>
      </c>
      <c r="V159" s="18">
        <f>IF($E159="","",P159+R159+T159)</f>
        <v/>
      </c>
      <c r="W159" s="18">
        <f>IF($E159="","",ROUND(J159-N159-U159-V159,2))</f>
        <v/>
      </c>
    </row>
    <row r="160">
      <c r="A160" s="10" t="n"/>
      <c r="B160" s="10" t="n"/>
      <c r="C160" s="10" t="n"/>
      <c r="D160" s="28" t="n"/>
      <c r="E160" s="30" t="n"/>
      <c r="F160" s="30" t="n"/>
      <c r="G160" s="10" t="n"/>
      <c r="H160" s="10" t="n"/>
      <c r="I160" s="10" t="n"/>
      <c r="J160" s="18">
        <f>IF($E160="","",E160-F160)</f>
        <v/>
      </c>
      <c r="K160" s="31">
        <f>IF($A160="","",SUMIFS(Horas!$D:$D,Horas!$B:$B,$A160,Horas!$C:$C,Parametros!$B$5))</f>
        <v/>
      </c>
      <c r="L160" s="31">
        <f>IF($A160="","",SUMIFS(Horas!$D:$D,Horas!$B:$B,$A160,Horas!$C:$C,Parametros!$B$6))</f>
        <v/>
      </c>
      <c r="M160" s="22">
        <f>IF($E160="","",IF(N(K160)+N(L160)=0,Parametros!$C$5,N(K160)/(N(K160)+N(L160))))</f>
        <v/>
      </c>
      <c r="N160" s="18">
        <f>IF($E160="","",J160*Parametros!$B$11+IF(G160=Parametros!$B$16,J160*Parametros!$B$12,0))</f>
        <v/>
      </c>
      <c r="O160" s="18">
        <f>IF($E160="","",IF(G160=Parametros!$B$5,J160*Parametros!$B$12,0))</f>
        <v/>
      </c>
      <c r="P160" s="18">
        <f>IF($E160="","",IF(G160=Parametros!$B$6,J160*Parametros!$B$12,0))</f>
        <v/>
      </c>
      <c r="Q160" s="18">
        <f>IF($E160="","",IF(H160=Parametros!$B$5,J160*Parametros!$B$13,IF(H160=Parametros!$B$6,0,J160*Parametros!$B$13*Parametros!$C$5)))</f>
        <v/>
      </c>
      <c r="R160" s="18">
        <f>IF($E160="","",IF(H160=Parametros!$B$6,J160*Parametros!$B$13,IF(H160=Parametros!$B$5,0,J160*Parametros!$B$13*Parametros!$C$6)))</f>
        <v/>
      </c>
      <c r="S160" s="18">
        <f>IF($E160="","",J160*Parametros!$B$14*M160)</f>
        <v/>
      </c>
      <c r="T160" s="18">
        <f>IF($E160="","",J160*Parametros!$B$14*(1-M160))</f>
        <v/>
      </c>
      <c r="U160" s="18">
        <f>IF($E160="","",O160+Q160+S160)</f>
        <v/>
      </c>
      <c r="V160" s="18">
        <f>IF($E160="","",P160+R160+T160)</f>
        <v/>
      </c>
      <c r="W160" s="18">
        <f>IF($E160="","",ROUND(J160-N160-U160-V160,2))</f>
        <v/>
      </c>
    </row>
    <row r="161">
      <c r="A161" s="10" t="n"/>
      <c r="B161" s="10" t="n"/>
      <c r="C161" s="10" t="n"/>
      <c r="D161" s="28" t="n"/>
      <c r="E161" s="30" t="n"/>
      <c r="F161" s="30" t="n"/>
      <c r="G161" s="10" t="n"/>
      <c r="H161" s="10" t="n"/>
      <c r="I161" s="10" t="n"/>
      <c r="J161" s="18">
        <f>IF($E161="","",E161-F161)</f>
        <v/>
      </c>
      <c r="K161" s="31">
        <f>IF($A161="","",SUMIFS(Horas!$D:$D,Horas!$B:$B,$A161,Horas!$C:$C,Parametros!$B$5))</f>
        <v/>
      </c>
      <c r="L161" s="31">
        <f>IF($A161="","",SUMIFS(Horas!$D:$D,Horas!$B:$B,$A161,Horas!$C:$C,Parametros!$B$6))</f>
        <v/>
      </c>
      <c r="M161" s="22">
        <f>IF($E161="","",IF(N(K161)+N(L161)=0,Parametros!$C$5,N(K161)/(N(K161)+N(L161))))</f>
        <v/>
      </c>
      <c r="N161" s="18">
        <f>IF($E161="","",J161*Parametros!$B$11+IF(G161=Parametros!$B$16,J161*Parametros!$B$12,0))</f>
        <v/>
      </c>
      <c r="O161" s="18">
        <f>IF($E161="","",IF(G161=Parametros!$B$5,J161*Parametros!$B$12,0))</f>
        <v/>
      </c>
      <c r="P161" s="18">
        <f>IF($E161="","",IF(G161=Parametros!$B$6,J161*Parametros!$B$12,0))</f>
        <v/>
      </c>
      <c r="Q161" s="18">
        <f>IF($E161="","",IF(H161=Parametros!$B$5,J161*Parametros!$B$13,IF(H161=Parametros!$B$6,0,J161*Parametros!$B$13*Parametros!$C$5)))</f>
        <v/>
      </c>
      <c r="R161" s="18">
        <f>IF($E161="","",IF(H161=Parametros!$B$6,J161*Parametros!$B$13,IF(H161=Parametros!$B$5,0,J161*Parametros!$B$13*Parametros!$C$6)))</f>
        <v/>
      </c>
      <c r="S161" s="18">
        <f>IF($E161="","",J161*Parametros!$B$14*M161)</f>
        <v/>
      </c>
      <c r="T161" s="18">
        <f>IF($E161="","",J161*Parametros!$B$14*(1-M161))</f>
        <v/>
      </c>
      <c r="U161" s="18">
        <f>IF($E161="","",O161+Q161+S161)</f>
        <v/>
      </c>
      <c r="V161" s="18">
        <f>IF($E161="","",P161+R161+T161)</f>
        <v/>
      </c>
      <c r="W161" s="18">
        <f>IF($E161="","",ROUND(J161-N161-U161-V161,2))</f>
        <v/>
      </c>
    </row>
    <row r="162">
      <c r="A162" s="10" t="n"/>
      <c r="B162" s="10" t="n"/>
      <c r="C162" s="10" t="n"/>
      <c r="D162" s="28" t="n"/>
      <c r="E162" s="30" t="n"/>
      <c r="F162" s="30" t="n"/>
      <c r="G162" s="10" t="n"/>
      <c r="H162" s="10" t="n"/>
      <c r="I162" s="10" t="n"/>
      <c r="J162" s="18">
        <f>IF($E162="","",E162-F162)</f>
        <v/>
      </c>
      <c r="K162" s="31">
        <f>IF($A162="","",SUMIFS(Horas!$D:$D,Horas!$B:$B,$A162,Horas!$C:$C,Parametros!$B$5))</f>
        <v/>
      </c>
      <c r="L162" s="31">
        <f>IF($A162="","",SUMIFS(Horas!$D:$D,Horas!$B:$B,$A162,Horas!$C:$C,Parametros!$B$6))</f>
        <v/>
      </c>
      <c r="M162" s="22">
        <f>IF($E162="","",IF(N(K162)+N(L162)=0,Parametros!$C$5,N(K162)/(N(K162)+N(L162))))</f>
        <v/>
      </c>
      <c r="N162" s="18">
        <f>IF($E162="","",J162*Parametros!$B$11+IF(G162=Parametros!$B$16,J162*Parametros!$B$12,0))</f>
        <v/>
      </c>
      <c r="O162" s="18">
        <f>IF($E162="","",IF(G162=Parametros!$B$5,J162*Parametros!$B$12,0))</f>
        <v/>
      </c>
      <c r="P162" s="18">
        <f>IF($E162="","",IF(G162=Parametros!$B$6,J162*Parametros!$B$12,0))</f>
        <v/>
      </c>
      <c r="Q162" s="18">
        <f>IF($E162="","",IF(H162=Parametros!$B$5,J162*Parametros!$B$13,IF(H162=Parametros!$B$6,0,J162*Parametros!$B$13*Parametros!$C$5)))</f>
        <v/>
      </c>
      <c r="R162" s="18">
        <f>IF($E162="","",IF(H162=Parametros!$B$6,J162*Parametros!$B$13,IF(H162=Parametros!$B$5,0,J162*Parametros!$B$13*Parametros!$C$6)))</f>
        <v/>
      </c>
      <c r="S162" s="18">
        <f>IF($E162="","",J162*Parametros!$B$14*M162)</f>
        <v/>
      </c>
      <c r="T162" s="18">
        <f>IF($E162="","",J162*Parametros!$B$14*(1-M162))</f>
        <v/>
      </c>
      <c r="U162" s="18">
        <f>IF($E162="","",O162+Q162+S162)</f>
        <v/>
      </c>
      <c r="V162" s="18">
        <f>IF($E162="","",P162+R162+T162)</f>
        <v/>
      </c>
      <c r="W162" s="18">
        <f>IF($E162="","",ROUND(J162-N162-U162-V162,2))</f>
        <v/>
      </c>
    </row>
    <row r="163">
      <c r="A163" s="10" t="n"/>
      <c r="B163" s="10" t="n"/>
      <c r="C163" s="10" t="n"/>
      <c r="D163" s="28" t="n"/>
      <c r="E163" s="30" t="n"/>
      <c r="F163" s="30" t="n"/>
      <c r="G163" s="10" t="n"/>
      <c r="H163" s="10" t="n"/>
      <c r="I163" s="10" t="n"/>
      <c r="J163" s="18">
        <f>IF($E163="","",E163-F163)</f>
        <v/>
      </c>
      <c r="K163" s="31">
        <f>IF($A163="","",SUMIFS(Horas!$D:$D,Horas!$B:$B,$A163,Horas!$C:$C,Parametros!$B$5))</f>
        <v/>
      </c>
      <c r="L163" s="31">
        <f>IF($A163="","",SUMIFS(Horas!$D:$D,Horas!$B:$B,$A163,Horas!$C:$C,Parametros!$B$6))</f>
        <v/>
      </c>
      <c r="M163" s="22">
        <f>IF($E163="","",IF(N(K163)+N(L163)=0,Parametros!$C$5,N(K163)/(N(K163)+N(L163))))</f>
        <v/>
      </c>
      <c r="N163" s="18">
        <f>IF($E163="","",J163*Parametros!$B$11+IF(G163=Parametros!$B$16,J163*Parametros!$B$12,0))</f>
        <v/>
      </c>
      <c r="O163" s="18">
        <f>IF($E163="","",IF(G163=Parametros!$B$5,J163*Parametros!$B$12,0))</f>
        <v/>
      </c>
      <c r="P163" s="18">
        <f>IF($E163="","",IF(G163=Parametros!$B$6,J163*Parametros!$B$12,0))</f>
        <v/>
      </c>
      <c r="Q163" s="18">
        <f>IF($E163="","",IF(H163=Parametros!$B$5,J163*Parametros!$B$13,IF(H163=Parametros!$B$6,0,J163*Parametros!$B$13*Parametros!$C$5)))</f>
        <v/>
      </c>
      <c r="R163" s="18">
        <f>IF($E163="","",IF(H163=Parametros!$B$6,J163*Parametros!$B$13,IF(H163=Parametros!$B$5,0,J163*Parametros!$B$13*Parametros!$C$6)))</f>
        <v/>
      </c>
      <c r="S163" s="18">
        <f>IF($E163="","",J163*Parametros!$B$14*M163)</f>
        <v/>
      </c>
      <c r="T163" s="18">
        <f>IF($E163="","",J163*Parametros!$B$14*(1-M163))</f>
        <v/>
      </c>
      <c r="U163" s="18">
        <f>IF($E163="","",O163+Q163+S163)</f>
        <v/>
      </c>
      <c r="V163" s="18">
        <f>IF($E163="","",P163+R163+T163)</f>
        <v/>
      </c>
      <c r="W163" s="18">
        <f>IF($E163="","",ROUND(J163-N163-U163-V163,2))</f>
        <v/>
      </c>
    </row>
    <row r="164">
      <c r="A164" s="10" t="n"/>
      <c r="B164" s="10" t="n"/>
      <c r="C164" s="10" t="n"/>
      <c r="D164" s="28" t="n"/>
      <c r="E164" s="30" t="n"/>
      <c r="F164" s="30" t="n"/>
      <c r="G164" s="10" t="n"/>
      <c r="H164" s="10" t="n"/>
      <c r="I164" s="10" t="n"/>
      <c r="J164" s="18">
        <f>IF($E164="","",E164-F164)</f>
        <v/>
      </c>
      <c r="K164" s="31">
        <f>IF($A164="","",SUMIFS(Horas!$D:$D,Horas!$B:$B,$A164,Horas!$C:$C,Parametros!$B$5))</f>
        <v/>
      </c>
      <c r="L164" s="31">
        <f>IF($A164="","",SUMIFS(Horas!$D:$D,Horas!$B:$B,$A164,Horas!$C:$C,Parametros!$B$6))</f>
        <v/>
      </c>
      <c r="M164" s="22">
        <f>IF($E164="","",IF(N(K164)+N(L164)=0,Parametros!$C$5,N(K164)/(N(K164)+N(L164))))</f>
        <v/>
      </c>
      <c r="N164" s="18">
        <f>IF($E164="","",J164*Parametros!$B$11+IF(G164=Parametros!$B$16,J164*Parametros!$B$12,0))</f>
        <v/>
      </c>
      <c r="O164" s="18">
        <f>IF($E164="","",IF(G164=Parametros!$B$5,J164*Parametros!$B$12,0))</f>
        <v/>
      </c>
      <c r="P164" s="18">
        <f>IF($E164="","",IF(G164=Parametros!$B$6,J164*Parametros!$B$12,0))</f>
        <v/>
      </c>
      <c r="Q164" s="18">
        <f>IF($E164="","",IF(H164=Parametros!$B$5,J164*Parametros!$B$13,IF(H164=Parametros!$B$6,0,J164*Parametros!$B$13*Parametros!$C$5)))</f>
        <v/>
      </c>
      <c r="R164" s="18">
        <f>IF($E164="","",IF(H164=Parametros!$B$6,J164*Parametros!$B$13,IF(H164=Parametros!$B$5,0,J164*Parametros!$B$13*Parametros!$C$6)))</f>
        <v/>
      </c>
      <c r="S164" s="18">
        <f>IF($E164="","",J164*Parametros!$B$14*M164)</f>
        <v/>
      </c>
      <c r="T164" s="18">
        <f>IF($E164="","",J164*Parametros!$B$14*(1-M164))</f>
        <v/>
      </c>
      <c r="U164" s="18">
        <f>IF($E164="","",O164+Q164+S164)</f>
        <v/>
      </c>
      <c r="V164" s="18">
        <f>IF($E164="","",P164+R164+T164)</f>
        <v/>
      </c>
      <c r="W164" s="18">
        <f>IF($E164="","",ROUND(J164-N164-U164-V164,2))</f>
        <v/>
      </c>
    </row>
    <row r="165">
      <c r="A165" s="10" t="n"/>
      <c r="B165" s="10" t="n"/>
      <c r="C165" s="10" t="n"/>
      <c r="D165" s="28" t="n"/>
      <c r="E165" s="30" t="n"/>
      <c r="F165" s="30" t="n"/>
      <c r="G165" s="10" t="n"/>
      <c r="H165" s="10" t="n"/>
      <c r="I165" s="10" t="n"/>
      <c r="J165" s="18">
        <f>IF($E165="","",E165-F165)</f>
        <v/>
      </c>
      <c r="K165" s="31">
        <f>IF($A165="","",SUMIFS(Horas!$D:$D,Horas!$B:$B,$A165,Horas!$C:$C,Parametros!$B$5))</f>
        <v/>
      </c>
      <c r="L165" s="31">
        <f>IF($A165="","",SUMIFS(Horas!$D:$D,Horas!$B:$B,$A165,Horas!$C:$C,Parametros!$B$6))</f>
        <v/>
      </c>
      <c r="M165" s="22">
        <f>IF($E165="","",IF(N(K165)+N(L165)=0,Parametros!$C$5,N(K165)/(N(K165)+N(L165))))</f>
        <v/>
      </c>
      <c r="N165" s="18">
        <f>IF($E165="","",J165*Parametros!$B$11+IF(G165=Parametros!$B$16,J165*Parametros!$B$12,0))</f>
        <v/>
      </c>
      <c r="O165" s="18">
        <f>IF($E165="","",IF(G165=Parametros!$B$5,J165*Parametros!$B$12,0))</f>
        <v/>
      </c>
      <c r="P165" s="18">
        <f>IF($E165="","",IF(G165=Parametros!$B$6,J165*Parametros!$B$12,0))</f>
        <v/>
      </c>
      <c r="Q165" s="18">
        <f>IF($E165="","",IF(H165=Parametros!$B$5,J165*Parametros!$B$13,IF(H165=Parametros!$B$6,0,J165*Parametros!$B$13*Parametros!$C$5)))</f>
        <v/>
      </c>
      <c r="R165" s="18">
        <f>IF($E165="","",IF(H165=Parametros!$B$6,J165*Parametros!$B$13,IF(H165=Parametros!$B$5,0,J165*Parametros!$B$13*Parametros!$C$6)))</f>
        <v/>
      </c>
      <c r="S165" s="18">
        <f>IF($E165="","",J165*Parametros!$B$14*M165)</f>
        <v/>
      </c>
      <c r="T165" s="18">
        <f>IF($E165="","",J165*Parametros!$B$14*(1-M165))</f>
        <v/>
      </c>
      <c r="U165" s="18">
        <f>IF($E165="","",O165+Q165+S165)</f>
        <v/>
      </c>
      <c r="V165" s="18">
        <f>IF($E165="","",P165+R165+T165)</f>
        <v/>
      </c>
      <c r="W165" s="18">
        <f>IF($E165="","",ROUND(J165-N165-U165-V165,2))</f>
        <v/>
      </c>
    </row>
    <row r="166">
      <c r="A166" s="10" t="n"/>
      <c r="B166" s="10" t="n"/>
      <c r="C166" s="10" t="n"/>
      <c r="D166" s="28" t="n"/>
      <c r="E166" s="30" t="n"/>
      <c r="F166" s="30" t="n"/>
      <c r="G166" s="10" t="n"/>
      <c r="H166" s="10" t="n"/>
      <c r="I166" s="10" t="n"/>
      <c r="J166" s="18">
        <f>IF($E166="","",E166-F166)</f>
        <v/>
      </c>
      <c r="K166" s="31">
        <f>IF($A166="","",SUMIFS(Horas!$D:$D,Horas!$B:$B,$A166,Horas!$C:$C,Parametros!$B$5))</f>
        <v/>
      </c>
      <c r="L166" s="31">
        <f>IF($A166="","",SUMIFS(Horas!$D:$D,Horas!$B:$B,$A166,Horas!$C:$C,Parametros!$B$6))</f>
        <v/>
      </c>
      <c r="M166" s="22">
        <f>IF($E166="","",IF(N(K166)+N(L166)=0,Parametros!$C$5,N(K166)/(N(K166)+N(L166))))</f>
        <v/>
      </c>
      <c r="N166" s="18">
        <f>IF($E166="","",J166*Parametros!$B$11+IF(G166=Parametros!$B$16,J166*Parametros!$B$12,0))</f>
        <v/>
      </c>
      <c r="O166" s="18">
        <f>IF($E166="","",IF(G166=Parametros!$B$5,J166*Parametros!$B$12,0))</f>
        <v/>
      </c>
      <c r="P166" s="18">
        <f>IF($E166="","",IF(G166=Parametros!$B$6,J166*Parametros!$B$12,0))</f>
        <v/>
      </c>
      <c r="Q166" s="18">
        <f>IF($E166="","",IF(H166=Parametros!$B$5,J166*Parametros!$B$13,IF(H166=Parametros!$B$6,0,J166*Parametros!$B$13*Parametros!$C$5)))</f>
        <v/>
      </c>
      <c r="R166" s="18">
        <f>IF($E166="","",IF(H166=Parametros!$B$6,J166*Parametros!$B$13,IF(H166=Parametros!$B$5,0,J166*Parametros!$B$13*Parametros!$C$6)))</f>
        <v/>
      </c>
      <c r="S166" s="18">
        <f>IF($E166="","",J166*Parametros!$B$14*M166)</f>
        <v/>
      </c>
      <c r="T166" s="18">
        <f>IF($E166="","",J166*Parametros!$B$14*(1-M166))</f>
        <v/>
      </c>
      <c r="U166" s="18">
        <f>IF($E166="","",O166+Q166+S166)</f>
        <v/>
      </c>
      <c r="V166" s="18">
        <f>IF($E166="","",P166+R166+T166)</f>
        <v/>
      </c>
      <c r="W166" s="18">
        <f>IF($E166="","",ROUND(J166-N166-U166-V166,2))</f>
        <v/>
      </c>
    </row>
    <row r="167">
      <c r="A167" s="10" t="n"/>
      <c r="B167" s="10" t="n"/>
      <c r="C167" s="10" t="n"/>
      <c r="D167" s="28" t="n"/>
      <c r="E167" s="30" t="n"/>
      <c r="F167" s="30" t="n"/>
      <c r="G167" s="10" t="n"/>
      <c r="H167" s="10" t="n"/>
      <c r="I167" s="10" t="n"/>
      <c r="J167" s="18">
        <f>IF($E167="","",E167-F167)</f>
        <v/>
      </c>
      <c r="K167" s="31">
        <f>IF($A167="","",SUMIFS(Horas!$D:$D,Horas!$B:$B,$A167,Horas!$C:$C,Parametros!$B$5))</f>
        <v/>
      </c>
      <c r="L167" s="31">
        <f>IF($A167="","",SUMIFS(Horas!$D:$D,Horas!$B:$B,$A167,Horas!$C:$C,Parametros!$B$6))</f>
        <v/>
      </c>
      <c r="M167" s="22">
        <f>IF($E167="","",IF(N(K167)+N(L167)=0,Parametros!$C$5,N(K167)/(N(K167)+N(L167))))</f>
        <v/>
      </c>
      <c r="N167" s="18">
        <f>IF($E167="","",J167*Parametros!$B$11+IF(G167=Parametros!$B$16,J167*Parametros!$B$12,0))</f>
        <v/>
      </c>
      <c r="O167" s="18">
        <f>IF($E167="","",IF(G167=Parametros!$B$5,J167*Parametros!$B$12,0))</f>
        <v/>
      </c>
      <c r="P167" s="18">
        <f>IF($E167="","",IF(G167=Parametros!$B$6,J167*Parametros!$B$12,0))</f>
        <v/>
      </c>
      <c r="Q167" s="18">
        <f>IF($E167="","",IF(H167=Parametros!$B$5,J167*Parametros!$B$13,IF(H167=Parametros!$B$6,0,J167*Parametros!$B$13*Parametros!$C$5)))</f>
        <v/>
      </c>
      <c r="R167" s="18">
        <f>IF($E167="","",IF(H167=Parametros!$B$6,J167*Parametros!$B$13,IF(H167=Parametros!$B$5,0,J167*Parametros!$B$13*Parametros!$C$6)))</f>
        <v/>
      </c>
      <c r="S167" s="18">
        <f>IF($E167="","",J167*Parametros!$B$14*M167)</f>
        <v/>
      </c>
      <c r="T167" s="18">
        <f>IF($E167="","",J167*Parametros!$B$14*(1-M167))</f>
        <v/>
      </c>
      <c r="U167" s="18">
        <f>IF($E167="","",O167+Q167+S167)</f>
        <v/>
      </c>
      <c r="V167" s="18">
        <f>IF($E167="","",P167+R167+T167)</f>
        <v/>
      </c>
      <c r="W167" s="18">
        <f>IF($E167="","",ROUND(J167-N167-U167-V167,2))</f>
        <v/>
      </c>
    </row>
    <row r="168">
      <c r="A168" s="10" t="n"/>
      <c r="B168" s="10" t="n"/>
      <c r="C168" s="10" t="n"/>
      <c r="D168" s="28" t="n"/>
      <c r="E168" s="30" t="n"/>
      <c r="F168" s="30" t="n"/>
      <c r="G168" s="10" t="n"/>
      <c r="H168" s="10" t="n"/>
      <c r="I168" s="10" t="n"/>
      <c r="J168" s="18">
        <f>IF($E168="","",E168-F168)</f>
        <v/>
      </c>
      <c r="K168" s="31">
        <f>IF($A168="","",SUMIFS(Horas!$D:$D,Horas!$B:$B,$A168,Horas!$C:$C,Parametros!$B$5))</f>
        <v/>
      </c>
      <c r="L168" s="31">
        <f>IF($A168="","",SUMIFS(Horas!$D:$D,Horas!$B:$B,$A168,Horas!$C:$C,Parametros!$B$6))</f>
        <v/>
      </c>
      <c r="M168" s="22">
        <f>IF($E168="","",IF(N(K168)+N(L168)=0,Parametros!$C$5,N(K168)/(N(K168)+N(L168))))</f>
        <v/>
      </c>
      <c r="N168" s="18">
        <f>IF($E168="","",J168*Parametros!$B$11+IF(G168=Parametros!$B$16,J168*Parametros!$B$12,0))</f>
        <v/>
      </c>
      <c r="O168" s="18">
        <f>IF($E168="","",IF(G168=Parametros!$B$5,J168*Parametros!$B$12,0))</f>
        <v/>
      </c>
      <c r="P168" s="18">
        <f>IF($E168="","",IF(G168=Parametros!$B$6,J168*Parametros!$B$12,0))</f>
        <v/>
      </c>
      <c r="Q168" s="18">
        <f>IF($E168="","",IF(H168=Parametros!$B$5,J168*Parametros!$B$13,IF(H168=Parametros!$B$6,0,J168*Parametros!$B$13*Parametros!$C$5)))</f>
        <v/>
      </c>
      <c r="R168" s="18">
        <f>IF($E168="","",IF(H168=Parametros!$B$6,J168*Parametros!$B$13,IF(H168=Parametros!$B$5,0,J168*Parametros!$B$13*Parametros!$C$6)))</f>
        <v/>
      </c>
      <c r="S168" s="18">
        <f>IF($E168="","",J168*Parametros!$B$14*M168)</f>
        <v/>
      </c>
      <c r="T168" s="18">
        <f>IF($E168="","",J168*Parametros!$B$14*(1-M168))</f>
        <v/>
      </c>
      <c r="U168" s="18">
        <f>IF($E168="","",O168+Q168+S168)</f>
        <v/>
      </c>
      <c r="V168" s="18">
        <f>IF($E168="","",P168+R168+T168)</f>
        <v/>
      </c>
      <c r="W168" s="18">
        <f>IF($E168="","",ROUND(J168-N168-U168-V168,2))</f>
        <v/>
      </c>
    </row>
    <row r="169">
      <c r="A169" s="10" t="n"/>
      <c r="B169" s="10" t="n"/>
      <c r="C169" s="10" t="n"/>
      <c r="D169" s="28" t="n"/>
      <c r="E169" s="30" t="n"/>
      <c r="F169" s="30" t="n"/>
      <c r="G169" s="10" t="n"/>
      <c r="H169" s="10" t="n"/>
      <c r="I169" s="10" t="n"/>
      <c r="J169" s="18">
        <f>IF($E169="","",E169-F169)</f>
        <v/>
      </c>
      <c r="K169" s="31">
        <f>IF($A169="","",SUMIFS(Horas!$D:$D,Horas!$B:$B,$A169,Horas!$C:$C,Parametros!$B$5))</f>
        <v/>
      </c>
      <c r="L169" s="31">
        <f>IF($A169="","",SUMIFS(Horas!$D:$D,Horas!$B:$B,$A169,Horas!$C:$C,Parametros!$B$6))</f>
        <v/>
      </c>
      <c r="M169" s="22">
        <f>IF($E169="","",IF(N(K169)+N(L169)=0,Parametros!$C$5,N(K169)/(N(K169)+N(L169))))</f>
        <v/>
      </c>
      <c r="N169" s="18">
        <f>IF($E169="","",J169*Parametros!$B$11+IF(G169=Parametros!$B$16,J169*Parametros!$B$12,0))</f>
        <v/>
      </c>
      <c r="O169" s="18">
        <f>IF($E169="","",IF(G169=Parametros!$B$5,J169*Parametros!$B$12,0))</f>
        <v/>
      </c>
      <c r="P169" s="18">
        <f>IF($E169="","",IF(G169=Parametros!$B$6,J169*Parametros!$B$12,0))</f>
        <v/>
      </c>
      <c r="Q169" s="18">
        <f>IF($E169="","",IF(H169=Parametros!$B$5,J169*Parametros!$B$13,IF(H169=Parametros!$B$6,0,J169*Parametros!$B$13*Parametros!$C$5)))</f>
        <v/>
      </c>
      <c r="R169" s="18">
        <f>IF($E169="","",IF(H169=Parametros!$B$6,J169*Parametros!$B$13,IF(H169=Parametros!$B$5,0,J169*Parametros!$B$13*Parametros!$C$6)))</f>
        <v/>
      </c>
      <c r="S169" s="18">
        <f>IF($E169="","",J169*Parametros!$B$14*M169)</f>
        <v/>
      </c>
      <c r="T169" s="18">
        <f>IF($E169="","",J169*Parametros!$B$14*(1-M169))</f>
        <v/>
      </c>
      <c r="U169" s="18">
        <f>IF($E169="","",O169+Q169+S169)</f>
        <v/>
      </c>
      <c r="V169" s="18">
        <f>IF($E169="","",P169+R169+T169)</f>
        <v/>
      </c>
      <c r="W169" s="18">
        <f>IF($E169="","",ROUND(J169-N169-U169-V169,2))</f>
        <v/>
      </c>
    </row>
    <row r="170">
      <c r="A170" s="10" t="n"/>
      <c r="B170" s="10" t="n"/>
      <c r="C170" s="10" t="n"/>
      <c r="D170" s="28" t="n"/>
      <c r="E170" s="30" t="n"/>
      <c r="F170" s="30" t="n"/>
      <c r="G170" s="10" t="n"/>
      <c r="H170" s="10" t="n"/>
      <c r="I170" s="10" t="n"/>
      <c r="J170" s="18">
        <f>IF($E170="","",E170-F170)</f>
        <v/>
      </c>
      <c r="K170" s="31">
        <f>IF($A170="","",SUMIFS(Horas!$D:$D,Horas!$B:$B,$A170,Horas!$C:$C,Parametros!$B$5))</f>
        <v/>
      </c>
      <c r="L170" s="31">
        <f>IF($A170="","",SUMIFS(Horas!$D:$D,Horas!$B:$B,$A170,Horas!$C:$C,Parametros!$B$6))</f>
        <v/>
      </c>
      <c r="M170" s="22">
        <f>IF($E170="","",IF(N(K170)+N(L170)=0,Parametros!$C$5,N(K170)/(N(K170)+N(L170))))</f>
        <v/>
      </c>
      <c r="N170" s="18">
        <f>IF($E170="","",J170*Parametros!$B$11+IF(G170=Parametros!$B$16,J170*Parametros!$B$12,0))</f>
        <v/>
      </c>
      <c r="O170" s="18">
        <f>IF($E170="","",IF(G170=Parametros!$B$5,J170*Parametros!$B$12,0))</f>
        <v/>
      </c>
      <c r="P170" s="18">
        <f>IF($E170="","",IF(G170=Parametros!$B$6,J170*Parametros!$B$12,0))</f>
        <v/>
      </c>
      <c r="Q170" s="18">
        <f>IF($E170="","",IF(H170=Parametros!$B$5,J170*Parametros!$B$13,IF(H170=Parametros!$B$6,0,J170*Parametros!$B$13*Parametros!$C$5)))</f>
        <v/>
      </c>
      <c r="R170" s="18">
        <f>IF($E170="","",IF(H170=Parametros!$B$6,J170*Parametros!$B$13,IF(H170=Parametros!$B$5,0,J170*Parametros!$B$13*Parametros!$C$6)))</f>
        <v/>
      </c>
      <c r="S170" s="18">
        <f>IF($E170="","",J170*Parametros!$B$14*M170)</f>
        <v/>
      </c>
      <c r="T170" s="18">
        <f>IF($E170="","",J170*Parametros!$B$14*(1-M170))</f>
        <v/>
      </c>
      <c r="U170" s="18">
        <f>IF($E170="","",O170+Q170+S170)</f>
        <v/>
      </c>
      <c r="V170" s="18">
        <f>IF($E170="","",P170+R170+T170)</f>
        <v/>
      </c>
      <c r="W170" s="18">
        <f>IF($E170="","",ROUND(J170-N170-U170-V170,2))</f>
        <v/>
      </c>
    </row>
    <row r="171">
      <c r="A171" s="10" t="n"/>
      <c r="B171" s="10" t="n"/>
      <c r="C171" s="10" t="n"/>
      <c r="D171" s="28" t="n"/>
      <c r="E171" s="30" t="n"/>
      <c r="F171" s="30" t="n"/>
      <c r="G171" s="10" t="n"/>
      <c r="H171" s="10" t="n"/>
      <c r="I171" s="10" t="n"/>
      <c r="J171" s="18">
        <f>IF($E171="","",E171-F171)</f>
        <v/>
      </c>
      <c r="K171" s="31">
        <f>IF($A171="","",SUMIFS(Horas!$D:$D,Horas!$B:$B,$A171,Horas!$C:$C,Parametros!$B$5))</f>
        <v/>
      </c>
      <c r="L171" s="31">
        <f>IF($A171="","",SUMIFS(Horas!$D:$D,Horas!$B:$B,$A171,Horas!$C:$C,Parametros!$B$6))</f>
        <v/>
      </c>
      <c r="M171" s="22">
        <f>IF($E171="","",IF(N(K171)+N(L171)=0,Parametros!$C$5,N(K171)/(N(K171)+N(L171))))</f>
        <v/>
      </c>
      <c r="N171" s="18">
        <f>IF($E171="","",J171*Parametros!$B$11+IF(G171=Parametros!$B$16,J171*Parametros!$B$12,0))</f>
        <v/>
      </c>
      <c r="O171" s="18">
        <f>IF($E171="","",IF(G171=Parametros!$B$5,J171*Parametros!$B$12,0))</f>
        <v/>
      </c>
      <c r="P171" s="18">
        <f>IF($E171="","",IF(G171=Parametros!$B$6,J171*Parametros!$B$12,0))</f>
        <v/>
      </c>
      <c r="Q171" s="18">
        <f>IF($E171="","",IF(H171=Parametros!$B$5,J171*Parametros!$B$13,IF(H171=Parametros!$B$6,0,J171*Parametros!$B$13*Parametros!$C$5)))</f>
        <v/>
      </c>
      <c r="R171" s="18">
        <f>IF($E171="","",IF(H171=Parametros!$B$6,J171*Parametros!$B$13,IF(H171=Parametros!$B$5,0,J171*Parametros!$B$13*Parametros!$C$6)))</f>
        <v/>
      </c>
      <c r="S171" s="18">
        <f>IF($E171="","",J171*Parametros!$B$14*M171)</f>
        <v/>
      </c>
      <c r="T171" s="18">
        <f>IF($E171="","",J171*Parametros!$B$14*(1-M171))</f>
        <v/>
      </c>
      <c r="U171" s="18">
        <f>IF($E171="","",O171+Q171+S171)</f>
        <v/>
      </c>
      <c r="V171" s="18">
        <f>IF($E171="","",P171+R171+T171)</f>
        <v/>
      </c>
      <c r="W171" s="18">
        <f>IF($E171="","",ROUND(J171-N171-U171-V171,2))</f>
        <v/>
      </c>
    </row>
    <row r="172">
      <c r="A172" s="10" t="n"/>
      <c r="B172" s="10" t="n"/>
      <c r="C172" s="10" t="n"/>
      <c r="D172" s="28" t="n"/>
      <c r="E172" s="30" t="n"/>
      <c r="F172" s="30" t="n"/>
      <c r="G172" s="10" t="n"/>
      <c r="H172" s="10" t="n"/>
      <c r="I172" s="10" t="n"/>
      <c r="J172" s="18">
        <f>IF($E172="","",E172-F172)</f>
        <v/>
      </c>
      <c r="K172" s="31">
        <f>IF($A172="","",SUMIFS(Horas!$D:$D,Horas!$B:$B,$A172,Horas!$C:$C,Parametros!$B$5))</f>
        <v/>
      </c>
      <c r="L172" s="31">
        <f>IF($A172="","",SUMIFS(Horas!$D:$D,Horas!$B:$B,$A172,Horas!$C:$C,Parametros!$B$6))</f>
        <v/>
      </c>
      <c r="M172" s="22">
        <f>IF($E172="","",IF(N(K172)+N(L172)=0,Parametros!$C$5,N(K172)/(N(K172)+N(L172))))</f>
        <v/>
      </c>
      <c r="N172" s="18">
        <f>IF($E172="","",J172*Parametros!$B$11+IF(G172=Parametros!$B$16,J172*Parametros!$B$12,0))</f>
        <v/>
      </c>
      <c r="O172" s="18">
        <f>IF($E172="","",IF(G172=Parametros!$B$5,J172*Parametros!$B$12,0))</f>
        <v/>
      </c>
      <c r="P172" s="18">
        <f>IF($E172="","",IF(G172=Parametros!$B$6,J172*Parametros!$B$12,0))</f>
        <v/>
      </c>
      <c r="Q172" s="18">
        <f>IF($E172="","",IF(H172=Parametros!$B$5,J172*Parametros!$B$13,IF(H172=Parametros!$B$6,0,J172*Parametros!$B$13*Parametros!$C$5)))</f>
        <v/>
      </c>
      <c r="R172" s="18">
        <f>IF($E172="","",IF(H172=Parametros!$B$6,J172*Parametros!$B$13,IF(H172=Parametros!$B$5,0,J172*Parametros!$B$13*Parametros!$C$6)))</f>
        <v/>
      </c>
      <c r="S172" s="18">
        <f>IF($E172="","",J172*Parametros!$B$14*M172)</f>
        <v/>
      </c>
      <c r="T172" s="18">
        <f>IF($E172="","",J172*Parametros!$B$14*(1-M172))</f>
        <v/>
      </c>
      <c r="U172" s="18">
        <f>IF($E172="","",O172+Q172+S172)</f>
        <v/>
      </c>
      <c r="V172" s="18">
        <f>IF($E172="","",P172+R172+T172)</f>
        <v/>
      </c>
      <c r="W172" s="18">
        <f>IF($E172="","",ROUND(J172-N172-U172-V172,2))</f>
        <v/>
      </c>
    </row>
    <row r="173">
      <c r="A173" s="10" t="n"/>
      <c r="B173" s="10" t="n"/>
      <c r="C173" s="10" t="n"/>
      <c r="D173" s="28" t="n"/>
      <c r="E173" s="30" t="n"/>
      <c r="F173" s="30" t="n"/>
      <c r="G173" s="10" t="n"/>
      <c r="H173" s="10" t="n"/>
      <c r="I173" s="10" t="n"/>
      <c r="J173" s="18">
        <f>IF($E173="","",E173-F173)</f>
        <v/>
      </c>
      <c r="K173" s="31">
        <f>IF($A173="","",SUMIFS(Horas!$D:$D,Horas!$B:$B,$A173,Horas!$C:$C,Parametros!$B$5))</f>
        <v/>
      </c>
      <c r="L173" s="31">
        <f>IF($A173="","",SUMIFS(Horas!$D:$D,Horas!$B:$B,$A173,Horas!$C:$C,Parametros!$B$6))</f>
        <v/>
      </c>
      <c r="M173" s="22">
        <f>IF($E173="","",IF(N(K173)+N(L173)=0,Parametros!$C$5,N(K173)/(N(K173)+N(L173))))</f>
        <v/>
      </c>
      <c r="N173" s="18">
        <f>IF($E173="","",J173*Parametros!$B$11+IF(G173=Parametros!$B$16,J173*Parametros!$B$12,0))</f>
        <v/>
      </c>
      <c r="O173" s="18">
        <f>IF($E173="","",IF(G173=Parametros!$B$5,J173*Parametros!$B$12,0))</f>
        <v/>
      </c>
      <c r="P173" s="18">
        <f>IF($E173="","",IF(G173=Parametros!$B$6,J173*Parametros!$B$12,0))</f>
        <v/>
      </c>
      <c r="Q173" s="18">
        <f>IF($E173="","",IF(H173=Parametros!$B$5,J173*Parametros!$B$13,IF(H173=Parametros!$B$6,0,J173*Parametros!$B$13*Parametros!$C$5)))</f>
        <v/>
      </c>
      <c r="R173" s="18">
        <f>IF($E173="","",IF(H173=Parametros!$B$6,J173*Parametros!$B$13,IF(H173=Parametros!$B$5,0,J173*Parametros!$B$13*Parametros!$C$6)))</f>
        <v/>
      </c>
      <c r="S173" s="18">
        <f>IF($E173="","",J173*Parametros!$B$14*M173)</f>
        <v/>
      </c>
      <c r="T173" s="18">
        <f>IF($E173="","",J173*Parametros!$B$14*(1-M173))</f>
        <v/>
      </c>
      <c r="U173" s="18">
        <f>IF($E173="","",O173+Q173+S173)</f>
        <v/>
      </c>
      <c r="V173" s="18">
        <f>IF($E173="","",P173+R173+T173)</f>
        <v/>
      </c>
      <c r="W173" s="18">
        <f>IF($E173="","",ROUND(J173-N173-U173-V173,2))</f>
        <v/>
      </c>
    </row>
    <row r="174">
      <c r="A174" s="10" t="n"/>
      <c r="B174" s="10" t="n"/>
      <c r="C174" s="10" t="n"/>
      <c r="D174" s="28" t="n"/>
      <c r="E174" s="30" t="n"/>
      <c r="F174" s="30" t="n"/>
      <c r="G174" s="10" t="n"/>
      <c r="H174" s="10" t="n"/>
      <c r="I174" s="10" t="n"/>
      <c r="J174" s="18">
        <f>IF($E174="","",E174-F174)</f>
        <v/>
      </c>
      <c r="K174" s="31">
        <f>IF($A174="","",SUMIFS(Horas!$D:$D,Horas!$B:$B,$A174,Horas!$C:$C,Parametros!$B$5))</f>
        <v/>
      </c>
      <c r="L174" s="31">
        <f>IF($A174="","",SUMIFS(Horas!$D:$D,Horas!$B:$B,$A174,Horas!$C:$C,Parametros!$B$6))</f>
        <v/>
      </c>
      <c r="M174" s="22">
        <f>IF($E174="","",IF(N(K174)+N(L174)=0,Parametros!$C$5,N(K174)/(N(K174)+N(L174))))</f>
        <v/>
      </c>
      <c r="N174" s="18">
        <f>IF($E174="","",J174*Parametros!$B$11+IF(G174=Parametros!$B$16,J174*Parametros!$B$12,0))</f>
        <v/>
      </c>
      <c r="O174" s="18">
        <f>IF($E174="","",IF(G174=Parametros!$B$5,J174*Parametros!$B$12,0))</f>
        <v/>
      </c>
      <c r="P174" s="18">
        <f>IF($E174="","",IF(G174=Parametros!$B$6,J174*Parametros!$B$12,0))</f>
        <v/>
      </c>
      <c r="Q174" s="18">
        <f>IF($E174="","",IF(H174=Parametros!$B$5,J174*Parametros!$B$13,IF(H174=Parametros!$B$6,0,J174*Parametros!$B$13*Parametros!$C$5)))</f>
        <v/>
      </c>
      <c r="R174" s="18">
        <f>IF($E174="","",IF(H174=Parametros!$B$6,J174*Parametros!$B$13,IF(H174=Parametros!$B$5,0,J174*Parametros!$B$13*Parametros!$C$6)))</f>
        <v/>
      </c>
      <c r="S174" s="18">
        <f>IF($E174="","",J174*Parametros!$B$14*M174)</f>
        <v/>
      </c>
      <c r="T174" s="18">
        <f>IF($E174="","",J174*Parametros!$B$14*(1-M174))</f>
        <v/>
      </c>
      <c r="U174" s="18">
        <f>IF($E174="","",O174+Q174+S174)</f>
        <v/>
      </c>
      <c r="V174" s="18">
        <f>IF($E174="","",P174+R174+T174)</f>
        <v/>
      </c>
      <c r="W174" s="18">
        <f>IF($E174="","",ROUND(J174-N174-U174-V174,2))</f>
        <v/>
      </c>
    </row>
    <row r="175">
      <c r="A175" s="10" t="n"/>
      <c r="B175" s="10" t="n"/>
      <c r="C175" s="10" t="n"/>
      <c r="D175" s="28" t="n"/>
      <c r="E175" s="30" t="n"/>
      <c r="F175" s="30" t="n"/>
      <c r="G175" s="10" t="n"/>
      <c r="H175" s="10" t="n"/>
      <c r="I175" s="10" t="n"/>
      <c r="J175" s="18">
        <f>IF($E175="","",E175-F175)</f>
        <v/>
      </c>
      <c r="K175" s="31">
        <f>IF($A175="","",SUMIFS(Horas!$D:$D,Horas!$B:$B,$A175,Horas!$C:$C,Parametros!$B$5))</f>
        <v/>
      </c>
      <c r="L175" s="31">
        <f>IF($A175="","",SUMIFS(Horas!$D:$D,Horas!$B:$B,$A175,Horas!$C:$C,Parametros!$B$6))</f>
        <v/>
      </c>
      <c r="M175" s="22">
        <f>IF($E175="","",IF(N(K175)+N(L175)=0,Parametros!$C$5,N(K175)/(N(K175)+N(L175))))</f>
        <v/>
      </c>
      <c r="N175" s="18">
        <f>IF($E175="","",J175*Parametros!$B$11+IF(G175=Parametros!$B$16,J175*Parametros!$B$12,0))</f>
        <v/>
      </c>
      <c r="O175" s="18">
        <f>IF($E175="","",IF(G175=Parametros!$B$5,J175*Parametros!$B$12,0))</f>
        <v/>
      </c>
      <c r="P175" s="18">
        <f>IF($E175="","",IF(G175=Parametros!$B$6,J175*Parametros!$B$12,0))</f>
        <v/>
      </c>
      <c r="Q175" s="18">
        <f>IF($E175="","",IF(H175=Parametros!$B$5,J175*Parametros!$B$13,IF(H175=Parametros!$B$6,0,J175*Parametros!$B$13*Parametros!$C$5)))</f>
        <v/>
      </c>
      <c r="R175" s="18">
        <f>IF($E175="","",IF(H175=Parametros!$B$6,J175*Parametros!$B$13,IF(H175=Parametros!$B$5,0,J175*Parametros!$B$13*Parametros!$C$6)))</f>
        <v/>
      </c>
      <c r="S175" s="18">
        <f>IF($E175="","",J175*Parametros!$B$14*M175)</f>
        <v/>
      </c>
      <c r="T175" s="18">
        <f>IF($E175="","",J175*Parametros!$B$14*(1-M175))</f>
        <v/>
      </c>
      <c r="U175" s="18">
        <f>IF($E175="","",O175+Q175+S175)</f>
        <v/>
      </c>
      <c r="V175" s="18">
        <f>IF($E175="","",P175+R175+T175)</f>
        <v/>
      </c>
      <c r="W175" s="18">
        <f>IF($E175="","",ROUND(J175-N175-U175-V175,2))</f>
        <v/>
      </c>
    </row>
    <row r="176">
      <c r="A176" s="10" t="n"/>
      <c r="B176" s="10" t="n"/>
      <c r="C176" s="10" t="n"/>
      <c r="D176" s="28" t="n"/>
      <c r="E176" s="30" t="n"/>
      <c r="F176" s="30" t="n"/>
      <c r="G176" s="10" t="n"/>
      <c r="H176" s="10" t="n"/>
      <c r="I176" s="10" t="n"/>
      <c r="J176" s="18">
        <f>IF($E176="","",E176-F176)</f>
        <v/>
      </c>
      <c r="K176" s="31">
        <f>IF($A176="","",SUMIFS(Horas!$D:$D,Horas!$B:$B,$A176,Horas!$C:$C,Parametros!$B$5))</f>
        <v/>
      </c>
      <c r="L176" s="31">
        <f>IF($A176="","",SUMIFS(Horas!$D:$D,Horas!$B:$B,$A176,Horas!$C:$C,Parametros!$B$6))</f>
        <v/>
      </c>
      <c r="M176" s="22">
        <f>IF($E176="","",IF(N(K176)+N(L176)=0,Parametros!$C$5,N(K176)/(N(K176)+N(L176))))</f>
        <v/>
      </c>
      <c r="N176" s="18">
        <f>IF($E176="","",J176*Parametros!$B$11+IF(G176=Parametros!$B$16,J176*Parametros!$B$12,0))</f>
        <v/>
      </c>
      <c r="O176" s="18">
        <f>IF($E176="","",IF(G176=Parametros!$B$5,J176*Parametros!$B$12,0))</f>
        <v/>
      </c>
      <c r="P176" s="18">
        <f>IF($E176="","",IF(G176=Parametros!$B$6,J176*Parametros!$B$12,0))</f>
        <v/>
      </c>
      <c r="Q176" s="18">
        <f>IF($E176="","",IF(H176=Parametros!$B$5,J176*Parametros!$B$13,IF(H176=Parametros!$B$6,0,J176*Parametros!$B$13*Parametros!$C$5)))</f>
        <v/>
      </c>
      <c r="R176" s="18">
        <f>IF($E176="","",IF(H176=Parametros!$B$6,J176*Parametros!$B$13,IF(H176=Parametros!$B$5,0,J176*Parametros!$B$13*Parametros!$C$6)))</f>
        <v/>
      </c>
      <c r="S176" s="18">
        <f>IF($E176="","",J176*Parametros!$B$14*M176)</f>
        <v/>
      </c>
      <c r="T176" s="18">
        <f>IF($E176="","",J176*Parametros!$B$14*(1-M176))</f>
        <v/>
      </c>
      <c r="U176" s="18">
        <f>IF($E176="","",O176+Q176+S176)</f>
        <v/>
      </c>
      <c r="V176" s="18">
        <f>IF($E176="","",P176+R176+T176)</f>
        <v/>
      </c>
      <c r="W176" s="18">
        <f>IF($E176="","",ROUND(J176-N176-U176-V176,2))</f>
        <v/>
      </c>
    </row>
    <row r="177">
      <c r="A177" s="10" t="n"/>
      <c r="B177" s="10" t="n"/>
      <c r="C177" s="10" t="n"/>
      <c r="D177" s="28" t="n"/>
      <c r="E177" s="30" t="n"/>
      <c r="F177" s="30" t="n"/>
      <c r="G177" s="10" t="n"/>
      <c r="H177" s="10" t="n"/>
      <c r="I177" s="10" t="n"/>
      <c r="J177" s="18">
        <f>IF($E177="","",E177-F177)</f>
        <v/>
      </c>
      <c r="K177" s="31">
        <f>IF($A177="","",SUMIFS(Horas!$D:$D,Horas!$B:$B,$A177,Horas!$C:$C,Parametros!$B$5))</f>
        <v/>
      </c>
      <c r="L177" s="31">
        <f>IF($A177="","",SUMIFS(Horas!$D:$D,Horas!$B:$B,$A177,Horas!$C:$C,Parametros!$B$6))</f>
        <v/>
      </c>
      <c r="M177" s="22">
        <f>IF($E177="","",IF(N(K177)+N(L177)=0,Parametros!$C$5,N(K177)/(N(K177)+N(L177))))</f>
        <v/>
      </c>
      <c r="N177" s="18">
        <f>IF($E177="","",J177*Parametros!$B$11+IF(G177=Parametros!$B$16,J177*Parametros!$B$12,0))</f>
        <v/>
      </c>
      <c r="O177" s="18">
        <f>IF($E177="","",IF(G177=Parametros!$B$5,J177*Parametros!$B$12,0))</f>
        <v/>
      </c>
      <c r="P177" s="18">
        <f>IF($E177="","",IF(G177=Parametros!$B$6,J177*Parametros!$B$12,0))</f>
        <v/>
      </c>
      <c r="Q177" s="18">
        <f>IF($E177="","",IF(H177=Parametros!$B$5,J177*Parametros!$B$13,IF(H177=Parametros!$B$6,0,J177*Parametros!$B$13*Parametros!$C$5)))</f>
        <v/>
      </c>
      <c r="R177" s="18">
        <f>IF($E177="","",IF(H177=Parametros!$B$6,J177*Parametros!$B$13,IF(H177=Parametros!$B$5,0,J177*Parametros!$B$13*Parametros!$C$6)))</f>
        <v/>
      </c>
      <c r="S177" s="18">
        <f>IF($E177="","",J177*Parametros!$B$14*M177)</f>
        <v/>
      </c>
      <c r="T177" s="18">
        <f>IF($E177="","",J177*Parametros!$B$14*(1-M177))</f>
        <v/>
      </c>
      <c r="U177" s="18">
        <f>IF($E177="","",O177+Q177+S177)</f>
        <v/>
      </c>
      <c r="V177" s="18">
        <f>IF($E177="","",P177+R177+T177)</f>
        <v/>
      </c>
      <c r="W177" s="18">
        <f>IF($E177="","",ROUND(J177-N177-U177-V177,2))</f>
        <v/>
      </c>
    </row>
    <row r="178">
      <c r="A178" s="10" t="n"/>
      <c r="B178" s="10" t="n"/>
      <c r="C178" s="10" t="n"/>
      <c r="D178" s="28" t="n"/>
      <c r="E178" s="30" t="n"/>
      <c r="F178" s="30" t="n"/>
      <c r="G178" s="10" t="n"/>
      <c r="H178" s="10" t="n"/>
      <c r="I178" s="10" t="n"/>
      <c r="J178" s="18">
        <f>IF($E178="","",E178-F178)</f>
        <v/>
      </c>
      <c r="K178" s="31">
        <f>IF($A178="","",SUMIFS(Horas!$D:$D,Horas!$B:$B,$A178,Horas!$C:$C,Parametros!$B$5))</f>
        <v/>
      </c>
      <c r="L178" s="31">
        <f>IF($A178="","",SUMIFS(Horas!$D:$D,Horas!$B:$B,$A178,Horas!$C:$C,Parametros!$B$6))</f>
        <v/>
      </c>
      <c r="M178" s="22">
        <f>IF($E178="","",IF(N(K178)+N(L178)=0,Parametros!$C$5,N(K178)/(N(K178)+N(L178))))</f>
        <v/>
      </c>
      <c r="N178" s="18">
        <f>IF($E178="","",J178*Parametros!$B$11+IF(G178=Parametros!$B$16,J178*Parametros!$B$12,0))</f>
        <v/>
      </c>
      <c r="O178" s="18">
        <f>IF($E178="","",IF(G178=Parametros!$B$5,J178*Parametros!$B$12,0))</f>
        <v/>
      </c>
      <c r="P178" s="18">
        <f>IF($E178="","",IF(G178=Parametros!$B$6,J178*Parametros!$B$12,0))</f>
        <v/>
      </c>
      <c r="Q178" s="18">
        <f>IF($E178="","",IF(H178=Parametros!$B$5,J178*Parametros!$B$13,IF(H178=Parametros!$B$6,0,J178*Parametros!$B$13*Parametros!$C$5)))</f>
        <v/>
      </c>
      <c r="R178" s="18">
        <f>IF($E178="","",IF(H178=Parametros!$B$6,J178*Parametros!$B$13,IF(H178=Parametros!$B$5,0,J178*Parametros!$B$13*Parametros!$C$6)))</f>
        <v/>
      </c>
      <c r="S178" s="18">
        <f>IF($E178="","",J178*Parametros!$B$14*M178)</f>
        <v/>
      </c>
      <c r="T178" s="18">
        <f>IF($E178="","",J178*Parametros!$B$14*(1-M178))</f>
        <v/>
      </c>
      <c r="U178" s="18">
        <f>IF($E178="","",O178+Q178+S178)</f>
        <v/>
      </c>
      <c r="V178" s="18">
        <f>IF($E178="","",P178+R178+T178)</f>
        <v/>
      </c>
      <c r="W178" s="18">
        <f>IF($E178="","",ROUND(J178-N178-U178-V178,2))</f>
        <v/>
      </c>
    </row>
    <row r="179">
      <c r="A179" s="10" t="n"/>
      <c r="B179" s="10" t="n"/>
      <c r="C179" s="10" t="n"/>
      <c r="D179" s="28" t="n"/>
      <c r="E179" s="30" t="n"/>
      <c r="F179" s="30" t="n"/>
      <c r="G179" s="10" t="n"/>
      <c r="H179" s="10" t="n"/>
      <c r="I179" s="10" t="n"/>
      <c r="J179" s="18">
        <f>IF($E179="","",E179-F179)</f>
        <v/>
      </c>
      <c r="K179" s="31">
        <f>IF($A179="","",SUMIFS(Horas!$D:$D,Horas!$B:$B,$A179,Horas!$C:$C,Parametros!$B$5))</f>
        <v/>
      </c>
      <c r="L179" s="31">
        <f>IF($A179="","",SUMIFS(Horas!$D:$D,Horas!$B:$B,$A179,Horas!$C:$C,Parametros!$B$6))</f>
        <v/>
      </c>
      <c r="M179" s="22">
        <f>IF($E179="","",IF(N(K179)+N(L179)=0,Parametros!$C$5,N(K179)/(N(K179)+N(L179))))</f>
        <v/>
      </c>
      <c r="N179" s="18">
        <f>IF($E179="","",J179*Parametros!$B$11+IF(G179=Parametros!$B$16,J179*Parametros!$B$12,0))</f>
        <v/>
      </c>
      <c r="O179" s="18">
        <f>IF($E179="","",IF(G179=Parametros!$B$5,J179*Parametros!$B$12,0))</f>
        <v/>
      </c>
      <c r="P179" s="18">
        <f>IF($E179="","",IF(G179=Parametros!$B$6,J179*Parametros!$B$12,0))</f>
        <v/>
      </c>
      <c r="Q179" s="18">
        <f>IF($E179="","",IF(H179=Parametros!$B$5,J179*Parametros!$B$13,IF(H179=Parametros!$B$6,0,J179*Parametros!$B$13*Parametros!$C$5)))</f>
        <v/>
      </c>
      <c r="R179" s="18">
        <f>IF($E179="","",IF(H179=Parametros!$B$6,J179*Parametros!$B$13,IF(H179=Parametros!$B$5,0,J179*Parametros!$B$13*Parametros!$C$6)))</f>
        <v/>
      </c>
      <c r="S179" s="18">
        <f>IF($E179="","",J179*Parametros!$B$14*M179)</f>
        <v/>
      </c>
      <c r="T179" s="18">
        <f>IF($E179="","",J179*Parametros!$B$14*(1-M179))</f>
        <v/>
      </c>
      <c r="U179" s="18">
        <f>IF($E179="","",O179+Q179+S179)</f>
        <v/>
      </c>
      <c r="V179" s="18">
        <f>IF($E179="","",P179+R179+T179)</f>
        <v/>
      </c>
      <c r="W179" s="18">
        <f>IF($E179="","",ROUND(J179-N179-U179-V179,2))</f>
        <v/>
      </c>
    </row>
    <row r="180">
      <c r="A180" s="10" t="n"/>
      <c r="B180" s="10" t="n"/>
      <c r="C180" s="10" t="n"/>
      <c r="D180" s="28" t="n"/>
      <c r="E180" s="30" t="n"/>
      <c r="F180" s="30" t="n"/>
      <c r="G180" s="10" t="n"/>
      <c r="H180" s="10" t="n"/>
      <c r="I180" s="10" t="n"/>
      <c r="J180" s="18">
        <f>IF($E180="","",E180-F180)</f>
        <v/>
      </c>
      <c r="K180" s="31">
        <f>IF($A180="","",SUMIFS(Horas!$D:$D,Horas!$B:$B,$A180,Horas!$C:$C,Parametros!$B$5))</f>
        <v/>
      </c>
      <c r="L180" s="31">
        <f>IF($A180="","",SUMIFS(Horas!$D:$D,Horas!$B:$B,$A180,Horas!$C:$C,Parametros!$B$6))</f>
        <v/>
      </c>
      <c r="M180" s="22">
        <f>IF($E180="","",IF(N(K180)+N(L180)=0,Parametros!$C$5,N(K180)/(N(K180)+N(L180))))</f>
        <v/>
      </c>
      <c r="N180" s="18">
        <f>IF($E180="","",J180*Parametros!$B$11+IF(G180=Parametros!$B$16,J180*Parametros!$B$12,0))</f>
        <v/>
      </c>
      <c r="O180" s="18">
        <f>IF($E180="","",IF(G180=Parametros!$B$5,J180*Parametros!$B$12,0))</f>
        <v/>
      </c>
      <c r="P180" s="18">
        <f>IF($E180="","",IF(G180=Parametros!$B$6,J180*Parametros!$B$12,0))</f>
        <v/>
      </c>
      <c r="Q180" s="18">
        <f>IF($E180="","",IF(H180=Parametros!$B$5,J180*Parametros!$B$13,IF(H180=Parametros!$B$6,0,J180*Parametros!$B$13*Parametros!$C$5)))</f>
        <v/>
      </c>
      <c r="R180" s="18">
        <f>IF($E180="","",IF(H180=Parametros!$B$6,J180*Parametros!$B$13,IF(H180=Parametros!$B$5,0,J180*Parametros!$B$13*Parametros!$C$6)))</f>
        <v/>
      </c>
      <c r="S180" s="18">
        <f>IF($E180="","",J180*Parametros!$B$14*M180)</f>
        <v/>
      </c>
      <c r="T180" s="18">
        <f>IF($E180="","",J180*Parametros!$B$14*(1-M180))</f>
        <v/>
      </c>
      <c r="U180" s="18">
        <f>IF($E180="","",O180+Q180+S180)</f>
        <v/>
      </c>
      <c r="V180" s="18">
        <f>IF($E180="","",P180+R180+T180)</f>
        <v/>
      </c>
      <c r="W180" s="18">
        <f>IF($E180="","",ROUND(J180-N180-U180-V180,2))</f>
        <v/>
      </c>
    </row>
    <row r="181">
      <c r="A181" s="10" t="n"/>
      <c r="B181" s="10" t="n"/>
      <c r="C181" s="10" t="n"/>
      <c r="D181" s="28" t="n"/>
      <c r="E181" s="30" t="n"/>
      <c r="F181" s="30" t="n"/>
      <c r="G181" s="10" t="n"/>
      <c r="H181" s="10" t="n"/>
      <c r="I181" s="10" t="n"/>
      <c r="J181" s="18">
        <f>IF($E181="","",E181-F181)</f>
        <v/>
      </c>
      <c r="K181" s="31">
        <f>IF($A181="","",SUMIFS(Horas!$D:$D,Horas!$B:$B,$A181,Horas!$C:$C,Parametros!$B$5))</f>
        <v/>
      </c>
      <c r="L181" s="31">
        <f>IF($A181="","",SUMIFS(Horas!$D:$D,Horas!$B:$B,$A181,Horas!$C:$C,Parametros!$B$6))</f>
        <v/>
      </c>
      <c r="M181" s="22">
        <f>IF($E181="","",IF(N(K181)+N(L181)=0,Parametros!$C$5,N(K181)/(N(K181)+N(L181))))</f>
        <v/>
      </c>
      <c r="N181" s="18">
        <f>IF($E181="","",J181*Parametros!$B$11+IF(G181=Parametros!$B$16,J181*Parametros!$B$12,0))</f>
        <v/>
      </c>
      <c r="O181" s="18">
        <f>IF($E181="","",IF(G181=Parametros!$B$5,J181*Parametros!$B$12,0))</f>
        <v/>
      </c>
      <c r="P181" s="18">
        <f>IF($E181="","",IF(G181=Parametros!$B$6,J181*Parametros!$B$12,0))</f>
        <v/>
      </c>
      <c r="Q181" s="18">
        <f>IF($E181="","",IF(H181=Parametros!$B$5,J181*Parametros!$B$13,IF(H181=Parametros!$B$6,0,J181*Parametros!$B$13*Parametros!$C$5)))</f>
        <v/>
      </c>
      <c r="R181" s="18">
        <f>IF($E181="","",IF(H181=Parametros!$B$6,J181*Parametros!$B$13,IF(H181=Parametros!$B$5,0,J181*Parametros!$B$13*Parametros!$C$6)))</f>
        <v/>
      </c>
      <c r="S181" s="18">
        <f>IF($E181="","",J181*Parametros!$B$14*M181)</f>
        <v/>
      </c>
      <c r="T181" s="18">
        <f>IF($E181="","",J181*Parametros!$B$14*(1-M181))</f>
        <v/>
      </c>
      <c r="U181" s="18">
        <f>IF($E181="","",O181+Q181+S181)</f>
        <v/>
      </c>
      <c r="V181" s="18">
        <f>IF($E181="","",P181+R181+T181)</f>
        <v/>
      </c>
      <c r="W181" s="18">
        <f>IF($E181="","",ROUND(J181-N181-U181-V181,2))</f>
        <v/>
      </c>
    </row>
    <row r="182">
      <c r="A182" s="10" t="n"/>
      <c r="B182" s="10" t="n"/>
      <c r="C182" s="10" t="n"/>
      <c r="D182" s="28" t="n"/>
      <c r="E182" s="30" t="n"/>
      <c r="F182" s="30" t="n"/>
      <c r="G182" s="10" t="n"/>
      <c r="H182" s="10" t="n"/>
      <c r="I182" s="10" t="n"/>
      <c r="J182" s="18">
        <f>IF($E182="","",E182-F182)</f>
        <v/>
      </c>
      <c r="K182" s="31">
        <f>IF($A182="","",SUMIFS(Horas!$D:$D,Horas!$B:$B,$A182,Horas!$C:$C,Parametros!$B$5))</f>
        <v/>
      </c>
      <c r="L182" s="31">
        <f>IF($A182="","",SUMIFS(Horas!$D:$D,Horas!$B:$B,$A182,Horas!$C:$C,Parametros!$B$6))</f>
        <v/>
      </c>
      <c r="M182" s="22">
        <f>IF($E182="","",IF(N(K182)+N(L182)=0,Parametros!$C$5,N(K182)/(N(K182)+N(L182))))</f>
        <v/>
      </c>
      <c r="N182" s="18">
        <f>IF($E182="","",J182*Parametros!$B$11+IF(G182=Parametros!$B$16,J182*Parametros!$B$12,0))</f>
        <v/>
      </c>
      <c r="O182" s="18">
        <f>IF($E182="","",IF(G182=Parametros!$B$5,J182*Parametros!$B$12,0))</f>
        <v/>
      </c>
      <c r="P182" s="18">
        <f>IF($E182="","",IF(G182=Parametros!$B$6,J182*Parametros!$B$12,0))</f>
        <v/>
      </c>
      <c r="Q182" s="18">
        <f>IF($E182="","",IF(H182=Parametros!$B$5,J182*Parametros!$B$13,IF(H182=Parametros!$B$6,0,J182*Parametros!$B$13*Parametros!$C$5)))</f>
        <v/>
      </c>
      <c r="R182" s="18">
        <f>IF($E182="","",IF(H182=Parametros!$B$6,J182*Parametros!$B$13,IF(H182=Parametros!$B$5,0,J182*Parametros!$B$13*Parametros!$C$6)))</f>
        <v/>
      </c>
      <c r="S182" s="18">
        <f>IF($E182="","",J182*Parametros!$B$14*M182)</f>
        <v/>
      </c>
      <c r="T182" s="18">
        <f>IF($E182="","",J182*Parametros!$B$14*(1-M182))</f>
        <v/>
      </c>
      <c r="U182" s="18">
        <f>IF($E182="","",O182+Q182+S182)</f>
        <v/>
      </c>
      <c r="V182" s="18">
        <f>IF($E182="","",P182+R182+T182)</f>
        <v/>
      </c>
      <c r="W182" s="18">
        <f>IF($E182="","",ROUND(J182-N182-U182-V182,2))</f>
        <v/>
      </c>
    </row>
    <row r="183">
      <c r="A183" s="10" t="n"/>
      <c r="B183" s="10" t="n"/>
      <c r="C183" s="10" t="n"/>
      <c r="D183" s="28" t="n"/>
      <c r="E183" s="30" t="n"/>
      <c r="F183" s="30" t="n"/>
      <c r="G183" s="10" t="n"/>
      <c r="H183" s="10" t="n"/>
      <c r="I183" s="10" t="n"/>
      <c r="J183" s="18">
        <f>IF($E183="","",E183-F183)</f>
        <v/>
      </c>
      <c r="K183" s="31">
        <f>IF($A183="","",SUMIFS(Horas!$D:$D,Horas!$B:$B,$A183,Horas!$C:$C,Parametros!$B$5))</f>
        <v/>
      </c>
      <c r="L183" s="31">
        <f>IF($A183="","",SUMIFS(Horas!$D:$D,Horas!$B:$B,$A183,Horas!$C:$C,Parametros!$B$6))</f>
        <v/>
      </c>
      <c r="M183" s="22">
        <f>IF($E183="","",IF(N(K183)+N(L183)=0,Parametros!$C$5,N(K183)/(N(K183)+N(L183))))</f>
        <v/>
      </c>
      <c r="N183" s="18">
        <f>IF($E183="","",J183*Parametros!$B$11+IF(G183=Parametros!$B$16,J183*Parametros!$B$12,0))</f>
        <v/>
      </c>
      <c r="O183" s="18">
        <f>IF($E183="","",IF(G183=Parametros!$B$5,J183*Parametros!$B$12,0))</f>
        <v/>
      </c>
      <c r="P183" s="18">
        <f>IF($E183="","",IF(G183=Parametros!$B$6,J183*Parametros!$B$12,0))</f>
        <v/>
      </c>
      <c r="Q183" s="18">
        <f>IF($E183="","",IF(H183=Parametros!$B$5,J183*Parametros!$B$13,IF(H183=Parametros!$B$6,0,J183*Parametros!$B$13*Parametros!$C$5)))</f>
        <v/>
      </c>
      <c r="R183" s="18">
        <f>IF($E183="","",IF(H183=Parametros!$B$6,J183*Parametros!$B$13,IF(H183=Parametros!$B$5,0,J183*Parametros!$B$13*Parametros!$C$6)))</f>
        <v/>
      </c>
      <c r="S183" s="18">
        <f>IF($E183="","",J183*Parametros!$B$14*M183)</f>
        <v/>
      </c>
      <c r="T183" s="18">
        <f>IF($E183="","",J183*Parametros!$B$14*(1-M183))</f>
        <v/>
      </c>
      <c r="U183" s="18">
        <f>IF($E183="","",O183+Q183+S183)</f>
        <v/>
      </c>
      <c r="V183" s="18">
        <f>IF($E183="","",P183+R183+T183)</f>
        <v/>
      </c>
      <c r="W183" s="18">
        <f>IF($E183="","",ROUND(J183-N183-U183-V183,2))</f>
        <v/>
      </c>
    </row>
    <row r="184">
      <c r="A184" s="10" t="n"/>
      <c r="B184" s="10" t="n"/>
      <c r="C184" s="10" t="n"/>
      <c r="D184" s="28" t="n"/>
      <c r="E184" s="30" t="n"/>
      <c r="F184" s="30" t="n"/>
      <c r="G184" s="10" t="n"/>
      <c r="H184" s="10" t="n"/>
      <c r="I184" s="10" t="n"/>
      <c r="J184" s="18">
        <f>IF($E184="","",E184-F184)</f>
        <v/>
      </c>
      <c r="K184" s="31">
        <f>IF($A184="","",SUMIFS(Horas!$D:$D,Horas!$B:$B,$A184,Horas!$C:$C,Parametros!$B$5))</f>
        <v/>
      </c>
      <c r="L184" s="31">
        <f>IF($A184="","",SUMIFS(Horas!$D:$D,Horas!$B:$B,$A184,Horas!$C:$C,Parametros!$B$6))</f>
        <v/>
      </c>
      <c r="M184" s="22">
        <f>IF($E184="","",IF(N(K184)+N(L184)=0,Parametros!$C$5,N(K184)/(N(K184)+N(L184))))</f>
        <v/>
      </c>
      <c r="N184" s="18">
        <f>IF($E184="","",J184*Parametros!$B$11+IF(G184=Parametros!$B$16,J184*Parametros!$B$12,0))</f>
        <v/>
      </c>
      <c r="O184" s="18">
        <f>IF($E184="","",IF(G184=Parametros!$B$5,J184*Parametros!$B$12,0))</f>
        <v/>
      </c>
      <c r="P184" s="18">
        <f>IF($E184="","",IF(G184=Parametros!$B$6,J184*Parametros!$B$12,0))</f>
        <v/>
      </c>
      <c r="Q184" s="18">
        <f>IF($E184="","",IF(H184=Parametros!$B$5,J184*Parametros!$B$13,IF(H184=Parametros!$B$6,0,J184*Parametros!$B$13*Parametros!$C$5)))</f>
        <v/>
      </c>
      <c r="R184" s="18">
        <f>IF($E184="","",IF(H184=Parametros!$B$6,J184*Parametros!$B$13,IF(H184=Parametros!$B$5,0,J184*Parametros!$B$13*Parametros!$C$6)))</f>
        <v/>
      </c>
      <c r="S184" s="18">
        <f>IF($E184="","",J184*Parametros!$B$14*M184)</f>
        <v/>
      </c>
      <c r="T184" s="18">
        <f>IF($E184="","",J184*Parametros!$B$14*(1-M184))</f>
        <v/>
      </c>
      <c r="U184" s="18">
        <f>IF($E184="","",O184+Q184+S184)</f>
        <v/>
      </c>
      <c r="V184" s="18">
        <f>IF($E184="","",P184+R184+T184)</f>
        <v/>
      </c>
      <c r="W184" s="18">
        <f>IF($E184="","",ROUND(J184-N184-U184-V184,2))</f>
        <v/>
      </c>
    </row>
    <row r="185">
      <c r="A185" s="10" t="n"/>
      <c r="B185" s="10" t="n"/>
      <c r="C185" s="10" t="n"/>
      <c r="D185" s="28" t="n"/>
      <c r="E185" s="30" t="n"/>
      <c r="F185" s="30" t="n"/>
      <c r="G185" s="10" t="n"/>
      <c r="H185" s="10" t="n"/>
      <c r="I185" s="10" t="n"/>
      <c r="J185" s="18">
        <f>IF($E185="","",E185-F185)</f>
        <v/>
      </c>
      <c r="K185" s="31">
        <f>IF($A185="","",SUMIFS(Horas!$D:$D,Horas!$B:$B,$A185,Horas!$C:$C,Parametros!$B$5))</f>
        <v/>
      </c>
      <c r="L185" s="31">
        <f>IF($A185="","",SUMIFS(Horas!$D:$D,Horas!$B:$B,$A185,Horas!$C:$C,Parametros!$B$6))</f>
        <v/>
      </c>
      <c r="M185" s="22">
        <f>IF($E185="","",IF(N(K185)+N(L185)=0,Parametros!$C$5,N(K185)/(N(K185)+N(L185))))</f>
        <v/>
      </c>
      <c r="N185" s="18">
        <f>IF($E185="","",J185*Parametros!$B$11+IF(G185=Parametros!$B$16,J185*Parametros!$B$12,0))</f>
        <v/>
      </c>
      <c r="O185" s="18">
        <f>IF($E185="","",IF(G185=Parametros!$B$5,J185*Parametros!$B$12,0))</f>
        <v/>
      </c>
      <c r="P185" s="18">
        <f>IF($E185="","",IF(G185=Parametros!$B$6,J185*Parametros!$B$12,0))</f>
        <v/>
      </c>
      <c r="Q185" s="18">
        <f>IF($E185="","",IF(H185=Parametros!$B$5,J185*Parametros!$B$13,IF(H185=Parametros!$B$6,0,J185*Parametros!$B$13*Parametros!$C$5)))</f>
        <v/>
      </c>
      <c r="R185" s="18">
        <f>IF($E185="","",IF(H185=Parametros!$B$6,J185*Parametros!$B$13,IF(H185=Parametros!$B$5,0,J185*Parametros!$B$13*Parametros!$C$6)))</f>
        <v/>
      </c>
      <c r="S185" s="18">
        <f>IF($E185="","",J185*Parametros!$B$14*M185)</f>
        <v/>
      </c>
      <c r="T185" s="18">
        <f>IF($E185="","",J185*Parametros!$B$14*(1-M185))</f>
        <v/>
      </c>
      <c r="U185" s="18">
        <f>IF($E185="","",O185+Q185+S185)</f>
        <v/>
      </c>
      <c r="V185" s="18">
        <f>IF($E185="","",P185+R185+T185)</f>
        <v/>
      </c>
      <c r="W185" s="18">
        <f>IF($E185="","",ROUND(J185-N185-U185-V185,2))</f>
        <v/>
      </c>
    </row>
    <row r="186">
      <c r="A186" s="10" t="n"/>
      <c r="B186" s="10" t="n"/>
      <c r="C186" s="10" t="n"/>
      <c r="D186" s="28" t="n"/>
      <c r="E186" s="30" t="n"/>
      <c r="F186" s="30" t="n"/>
      <c r="G186" s="10" t="n"/>
      <c r="H186" s="10" t="n"/>
      <c r="I186" s="10" t="n"/>
      <c r="J186" s="18">
        <f>IF($E186="","",E186-F186)</f>
        <v/>
      </c>
      <c r="K186" s="31">
        <f>IF($A186="","",SUMIFS(Horas!$D:$D,Horas!$B:$B,$A186,Horas!$C:$C,Parametros!$B$5))</f>
        <v/>
      </c>
      <c r="L186" s="31">
        <f>IF($A186="","",SUMIFS(Horas!$D:$D,Horas!$B:$B,$A186,Horas!$C:$C,Parametros!$B$6))</f>
        <v/>
      </c>
      <c r="M186" s="22">
        <f>IF($E186="","",IF(N(K186)+N(L186)=0,Parametros!$C$5,N(K186)/(N(K186)+N(L186))))</f>
        <v/>
      </c>
      <c r="N186" s="18">
        <f>IF($E186="","",J186*Parametros!$B$11+IF(G186=Parametros!$B$16,J186*Parametros!$B$12,0))</f>
        <v/>
      </c>
      <c r="O186" s="18">
        <f>IF($E186="","",IF(G186=Parametros!$B$5,J186*Parametros!$B$12,0))</f>
        <v/>
      </c>
      <c r="P186" s="18">
        <f>IF($E186="","",IF(G186=Parametros!$B$6,J186*Parametros!$B$12,0))</f>
        <v/>
      </c>
      <c r="Q186" s="18">
        <f>IF($E186="","",IF(H186=Parametros!$B$5,J186*Parametros!$B$13,IF(H186=Parametros!$B$6,0,J186*Parametros!$B$13*Parametros!$C$5)))</f>
        <v/>
      </c>
      <c r="R186" s="18">
        <f>IF($E186="","",IF(H186=Parametros!$B$6,J186*Parametros!$B$13,IF(H186=Parametros!$B$5,0,J186*Parametros!$B$13*Parametros!$C$6)))</f>
        <v/>
      </c>
      <c r="S186" s="18">
        <f>IF($E186="","",J186*Parametros!$B$14*M186)</f>
        <v/>
      </c>
      <c r="T186" s="18">
        <f>IF($E186="","",J186*Parametros!$B$14*(1-M186))</f>
        <v/>
      </c>
      <c r="U186" s="18">
        <f>IF($E186="","",O186+Q186+S186)</f>
        <v/>
      </c>
      <c r="V186" s="18">
        <f>IF($E186="","",P186+R186+T186)</f>
        <v/>
      </c>
      <c r="W186" s="18">
        <f>IF($E186="","",ROUND(J186-N186-U186-V186,2))</f>
        <v/>
      </c>
    </row>
    <row r="187">
      <c r="A187" s="10" t="n"/>
      <c r="B187" s="10" t="n"/>
      <c r="C187" s="10" t="n"/>
      <c r="D187" s="28" t="n"/>
      <c r="E187" s="30" t="n"/>
      <c r="F187" s="30" t="n"/>
      <c r="G187" s="10" t="n"/>
      <c r="H187" s="10" t="n"/>
      <c r="I187" s="10" t="n"/>
      <c r="J187" s="18">
        <f>IF($E187="","",E187-F187)</f>
        <v/>
      </c>
      <c r="K187" s="31">
        <f>IF($A187="","",SUMIFS(Horas!$D:$D,Horas!$B:$B,$A187,Horas!$C:$C,Parametros!$B$5))</f>
        <v/>
      </c>
      <c r="L187" s="31">
        <f>IF($A187="","",SUMIFS(Horas!$D:$D,Horas!$B:$B,$A187,Horas!$C:$C,Parametros!$B$6))</f>
        <v/>
      </c>
      <c r="M187" s="22">
        <f>IF($E187="","",IF(N(K187)+N(L187)=0,Parametros!$C$5,N(K187)/(N(K187)+N(L187))))</f>
        <v/>
      </c>
      <c r="N187" s="18">
        <f>IF($E187="","",J187*Parametros!$B$11+IF(G187=Parametros!$B$16,J187*Parametros!$B$12,0))</f>
        <v/>
      </c>
      <c r="O187" s="18">
        <f>IF($E187="","",IF(G187=Parametros!$B$5,J187*Parametros!$B$12,0))</f>
        <v/>
      </c>
      <c r="P187" s="18">
        <f>IF($E187="","",IF(G187=Parametros!$B$6,J187*Parametros!$B$12,0))</f>
        <v/>
      </c>
      <c r="Q187" s="18">
        <f>IF($E187="","",IF(H187=Parametros!$B$5,J187*Parametros!$B$13,IF(H187=Parametros!$B$6,0,J187*Parametros!$B$13*Parametros!$C$5)))</f>
        <v/>
      </c>
      <c r="R187" s="18">
        <f>IF($E187="","",IF(H187=Parametros!$B$6,J187*Parametros!$B$13,IF(H187=Parametros!$B$5,0,J187*Parametros!$B$13*Parametros!$C$6)))</f>
        <v/>
      </c>
      <c r="S187" s="18">
        <f>IF($E187="","",J187*Parametros!$B$14*M187)</f>
        <v/>
      </c>
      <c r="T187" s="18">
        <f>IF($E187="","",J187*Parametros!$B$14*(1-M187))</f>
        <v/>
      </c>
      <c r="U187" s="18">
        <f>IF($E187="","",O187+Q187+S187)</f>
        <v/>
      </c>
      <c r="V187" s="18">
        <f>IF($E187="","",P187+R187+T187)</f>
        <v/>
      </c>
      <c r="W187" s="18">
        <f>IF($E187="","",ROUND(J187-N187-U187-V187,2))</f>
        <v/>
      </c>
    </row>
    <row r="188">
      <c r="A188" s="10" t="n"/>
      <c r="B188" s="10" t="n"/>
      <c r="C188" s="10" t="n"/>
      <c r="D188" s="28" t="n"/>
      <c r="E188" s="30" t="n"/>
      <c r="F188" s="30" t="n"/>
      <c r="G188" s="10" t="n"/>
      <c r="H188" s="10" t="n"/>
      <c r="I188" s="10" t="n"/>
      <c r="J188" s="18">
        <f>IF($E188="","",E188-F188)</f>
        <v/>
      </c>
      <c r="K188" s="31">
        <f>IF($A188="","",SUMIFS(Horas!$D:$D,Horas!$B:$B,$A188,Horas!$C:$C,Parametros!$B$5))</f>
        <v/>
      </c>
      <c r="L188" s="31">
        <f>IF($A188="","",SUMIFS(Horas!$D:$D,Horas!$B:$B,$A188,Horas!$C:$C,Parametros!$B$6))</f>
        <v/>
      </c>
      <c r="M188" s="22">
        <f>IF($E188="","",IF(N(K188)+N(L188)=0,Parametros!$C$5,N(K188)/(N(K188)+N(L188))))</f>
        <v/>
      </c>
      <c r="N188" s="18">
        <f>IF($E188="","",J188*Parametros!$B$11+IF(G188=Parametros!$B$16,J188*Parametros!$B$12,0))</f>
        <v/>
      </c>
      <c r="O188" s="18">
        <f>IF($E188="","",IF(G188=Parametros!$B$5,J188*Parametros!$B$12,0))</f>
        <v/>
      </c>
      <c r="P188" s="18">
        <f>IF($E188="","",IF(G188=Parametros!$B$6,J188*Parametros!$B$12,0))</f>
        <v/>
      </c>
      <c r="Q188" s="18">
        <f>IF($E188="","",IF(H188=Parametros!$B$5,J188*Parametros!$B$13,IF(H188=Parametros!$B$6,0,J188*Parametros!$B$13*Parametros!$C$5)))</f>
        <v/>
      </c>
      <c r="R188" s="18">
        <f>IF($E188="","",IF(H188=Parametros!$B$6,J188*Parametros!$B$13,IF(H188=Parametros!$B$5,0,J188*Parametros!$B$13*Parametros!$C$6)))</f>
        <v/>
      </c>
      <c r="S188" s="18">
        <f>IF($E188="","",J188*Parametros!$B$14*M188)</f>
        <v/>
      </c>
      <c r="T188" s="18">
        <f>IF($E188="","",J188*Parametros!$B$14*(1-M188))</f>
        <v/>
      </c>
      <c r="U188" s="18">
        <f>IF($E188="","",O188+Q188+S188)</f>
        <v/>
      </c>
      <c r="V188" s="18">
        <f>IF($E188="","",P188+R188+T188)</f>
        <v/>
      </c>
      <c r="W188" s="18">
        <f>IF($E188="","",ROUND(J188-N188-U188-V188,2))</f>
        <v/>
      </c>
    </row>
    <row r="189">
      <c r="A189" s="10" t="n"/>
      <c r="B189" s="10" t="n"/>
      <c r="C189" s="10" t="n"/>
      <c r="D189" s="28" t="n"/>
      <c r="E189" s="30" t="n"/>
      <c r="F189" s="30" t="n"/>
      <c r="G189" s="10" t="n"/>
      <c r="H189" s="10" t="n"/>
      <c r="I189" s="10" t="n"/>
      <c r="J189" s="18">
        <f>IF($E189="","",E189-F189)</f>
        <v/>
      </c>
      <c r="K189" s="31">
        <f>IF($A189="","",SUMIFS(Horas!$D:$D,Horas!$B:$B,$A189,Horas!$C:$C,Parametros!$B$5))</f>
        <v/>
      </c>
      <c r="L189" s="31">
        <f>IF($A189="","",SUMIFS(Horas!$D:$D,Horas!$B:$B,$A189,Horas!$C:$C,Parametros!$B$6))</f>
        <v/>
      </c>
      <c r="M189" s="22">
        <f>IF($E189="","",IF(N(K189)+N(L189)=0,Parametros!$C$5,N(K189)/(N(K189)+N(L189))))</f>
        <v/>
      </c>
      <c r="N189" s="18">
        <f>IF($E189="","",J189*Parametros!$B$11+IF(G189=Parametros!$B$16,J189*Parametros!$B$12,0))</f>
        <v/>
      </c>
      <c r="O189" s="18">
        <f>IF($E189="","",IF(G189=Parametros!$B$5,J189*Parametros!$B$12,0))</f>
        <v/>
      </c>
      <c r="P189" s="18">
        <f>IF($E189="","",IF(G189=Parametros!$B$6,J189*Parametros!$B$12,0))</f>
        <v/>
      </c>
      <c r="Q189" s="18">
        <f>IF($E189="","",IF(H189=Parametros!$B$5,J189*Parametros!$B$13,IF(H189=Parametros!$B$6,0,J189*Parametros!$B$13*Parametros!$C$5)))</f>
        <v/>
      </c>
      <c r="R189" s="18">
        <f>IF($E189="","",IF(H189=Parametros!$B$6,J189*Parametros!$B$13,IF(H189=Parametros!$B$5,0,J189*Parametros!$B$13*Parametros!$C$6)))</f>
        <v/>
      </c>
      <c r="S189" s="18">
        <f>IF($E189="","",J189*Parametros!$B$14*M189)</f>
        <v/>
      </c>
      <c r="T189" s="18">
        <f>IF($E189="","",J189*Parametros!$B$14*(1-M189))</f>
        <v/>
      </c>
      <c r="U189" s="18">
        <f>IF($E189="","",O189+Q189+S189)</f>
        <v/>
      </c>
      <c r="V189" s="18">
        <f>IF($E189="","",P189+R189+T189)</f>
        <v/>
      </c>
      <c r="W189" s="18">
        <f>IF($E189="","",ROUND(J189-N189-U189-V189,2))</f>
        <v/>
      </c>
    </row>
    <row r="190">
      <c r="A190" s="10" t="n"/>
      <c r="B190" s="10" t="n"/>
      <c r="C190" s="10" t="n"/>
      <c r="D190" s="28" t="n"/>
      <c r="E190" s="30" t="n"/>
      <c r="F190" s="30" t="n"/>
      <c r="G190" s="10" t="n"/>
      <c r="H190" s="10" t="n"/>
      <c r="I190" s="10" t="n"/>
      <c r="J190" s="18">
        <f>IF($E190="","",E190-F190)</f>
        <v/>
      </c>
      <c r="K190" s="31">
        <f>IF($A190="","",SUMIFS(Horas!$D:$D,Horas!$B:$B,$A190,Horas!$C:$C,Parametros!$B$5))</f>
        <v/>
      </c>
      <c r="L190" s="31">
        <f>IF($A190="","",SUMIFS(Horas!$D:$D,Horas!$B:$B,$A190,Horas!$C:$C,Parametros!$B$6))</f>
        <v/>
      </c>
      <c r="M190" s="22">
        <f>IF($E190="","",IF(N(K190)+N(L190)=0,Parametros!$C$5,N(K190)/(N(K190)+N(L190))))</f>
        <v/>
      </c>
      <c r="N190" s="18">
        <f>IF($E190="","",J190*Parametros!$B$11+IF(G190=Parametros!$B$16,J190*Parametros!$B$12,0))</f>
        <v/>
      </c>
      <c r="O190" s="18">
        <f>IF($E190="","",IF(G190=Parametros!$B$5,J190*Parametros!$B$12,0))</f>
        <v/>
      </c>
      <c r="P190" s="18">
        <f>IF($E190="","",IF(G190=Parametros!$B$6,J190*Parametros!$B$12,0))</f>
        <v/>
      </c>
      <c r="Q190" s="18">
        <f>IF($E190="","",IF(H190=Parametros!$B$5,J190*Parametros!$B$13,IF(H190=Parametros!$B$6,0,J190*Parametros!$B$13*Parametros!$C$5)))</f>
        <v/>
      </c>
      <c r="R190" s="18">
        <f>IF($E190="","",IF(H190=Parametros!$B$6,J190*Parametros!$B$13,IF(H190=Parametros!$B$5,0,J190*Parametros!$B$13*Parametros!$C$6)))</f>
        <v/>
      </c>
      <c r="S190" s="18">
        <f>IF($E190="","",J190*Parametros!$B$14*M190)</f>
        <v/>
      </c>
      <c r="T190" s="18">
        <f>IF($E190="","",J190*Parametros!$B$14*(1-M190))</f>
        <v/>
      </c>
      <c r="U190" s="18">
        <f>IF($E190="","",O190+Q190+S190)</f>
        <v/>
      </c>
      <c r="V190" s="18">
        <f>IF($E190="","",P190+R190+T190)</f>
        <v/>
      </c>
      <c r="W190" s="18">
        <f>IF($E190="","",ROUND(J190-N190-U190-V190,2))</f>
        <v/>
      </c>
    </row>
    <row r="191">
      <c r="A191" s="10" t="n"/>
      <c r="B191" s="10" t="n"/>
      <c r="C191" s="10" t="n"/>
      <c r="D191" s="28" t="n"/>
      <c r="E191" s="30" t="n"/>
      <c r="F191" s="30" t="n"/>
      <c r="G191" s="10" t="n"/>
      <c r="H191" s="10" t="n"/>
      <c r="I191" s="10" t="n"/>
      <c r="J191" s="18">
        <f>IF($E191="","",E191-F191)</f>
        <v/>
      </c>
      <c r="K191" s="31">
        <f>IF($A191="","",SUMIFS(Horas!$D:$D,Horas!$B:$B,$A191,Horas!$C:$C,Parametros!$B$5))</f>
        <v/>
      </c>
      <c r="L191" s="31">
        <f>IF($A191="","",SUMIFS(Horas!$D:$D,Horas!$B:$B,$A191,Horas!$C:$C,Parametros!$B$6))</f>
        <v/>
      </c>
      <c r="M191" s="22">
        <f>IF($E191="","",IF(N(K191)+N(L191)=0,Parametros!$C$5,N(K191)/(N(K191)+N(L191))))</f>
        <v/>
      </c>
      <c r="N191" s="18">
        <f>IF($E191="","",J191*Parametros!$B$11+IF(G191=Parametros!$B$16,J191*Parametros!$B$12,0))</f>
        <v/>
      </c>
      <c r="O191" s="18">
        <f>IF($E191="","",IF(G191=Parametros!$B$5,J191*Parametros!$B$12,0))</f>
        <v/>
      </c>
      <c r="P191" s="18">
        <f>IF($E191="","",IF(G191=Parametros!$B$6,J191*Parametros!$B$12,0))</f>
        <v/>
      </c>
      <c r="Q191" s="18">
        <f>IF($E191="","",IF(H191=Parametros!$B$5,J191*Parametros!$B$13,IF(H191=Parametros!$B$6,0,J191*Parametros!$B$13*Parametros!$C$5)))</f>
        <v/>
      </c>
      <c r="R191" s="18">
        <f>IF($E191="","",IF(H191=Parametros!$B$6,J191*Parametros!$B$13,IF(H191=Parametros!$B$5,0,J191*Parametros!$B$13*Parametros!$C$6)))</f>
        <v/>
      </c>
      <c r="S191" s="18">
        <f>IF($E191="","",J191*Parametros!$B$14*M191)</f>
        <v/>
      </c>
      <c r="T191" s="18">
        <f>IF($E191="","",J191*Parametros!$B$14*(1-M191))</f>
        <v/>
      </c>
      <c r="U191" s="18">
        <f>IF($E191="","",O191+Q191+S191)</f>
        <v/>
      </c>
      <c r="V191" s="18">
        <f>IF($E191="","",P191+R191+T191)</f>
        <v/>
      </c>
      <c r="W191" s="18">
        <f>IF($E191="","",ROUND(J191-N191-U191-V191,2))</f>
        <v/>
      </c>
    </row>
    <row r="192">
      <c r="A192" s="10" t="n"/>
      <c r="B192" s="10" t="n"/>
      <c r="C192" s="10" t="n"/>
      <c r="D192" s="28" t="n"/>
      <c r="E192" s="30" t="n"/>
      <c r="F192" s="30" t="n"/>
      <c r="G192" s="10" t="n"/>
      <c r="H192" s="10" t="n"/>
      <c r="I192" s="10" t="n"/>
      <c r="J192" s="18">
        <f>IF($E192="","",E192-F192)</f>
        <v/>
      </c>
      <c r="K192" s="31">
        <f>IF($A192="","",SUMIFS(Horas!$D:$D,Horas!$B:$B,$A192,Horas!$C:$C,Parametros!$B$5))</f>
        <v/>
      </c>
      <c r="L192" s="31">
        <f>IF($A192="","",SUMIFS(Horas!$D:$D,Horas!$B:$B,$A192,Horas!$C:$C,Parametros!$B$6))</f>
        <v/>
      </c>
      <c r="M192" s="22">
        <f>IF($E192="","",IF(N(K192)+N(L192)=0,Parametros!$C$5,N(K192)/(N(K192)+N(L192))))</f>
        <v/>
      </c>
      <c r="N192" s="18">
        <f>IF($E192="","",J192*Parametros!$B$11+IF(G192=Parametros!$B$16,J192*Parametros!$B$12,0))</f>
        <v/>
      </c>
      <c r="O192" s="18">
        <f>IF($E192="","",IF(G192=Parametros!$B$5,J192*Parametros!$B$12,0))</f>
        <v/>
      </c>
      <c r="P192" s="18">
        <f>IF($E192="","",IF(G192=Parametros!$B$6,J192*Parametros!$B$12,0))</f>
        <v/>
      </c>
      <c r="Q192" s="18">
        <f>IF($E192="","",IF(H192=Parametros!$B$5,J192*Parametros!$B$13,IF(H192=Parametros!$B$6,0,J192*Parametros!$B$13*Parametros!$C$5)))</f>
        <v/>
      </c>
      <c r="R192" s="18">
        <f>IF($E192="","",IF(H192=Parametros!$B$6,J192*Parametros!$B$13,IF(H192=Parametros!$B$5,0,J192*Parametros!$B$13*Parametros!$C$6)))</f>
        <v/>
      </c>
      <c r="S192" s="18">
        <f>IF($E192="","",J192*Parametros!$B$14*M192)</f>
        <v/>
      </c>
      <c r="T192" s="18">
        <f>IF($E192="","",J192*Parametros!$B$14*(1-M192))</f>
        <v/>
      </c>
      <c r="U192" s="18">
        <f>IF($E192="","",O192+Q192+S192)</f>
        <v/>
      </c>
      <c r="V192" s="18">
        <f>IF($E192="","",P192+R192+T192)</f>
        <v/>
      </c>
      <c r="W192" s="18">
        <f>IF($E192="","",ROUND(J192-N192-U192-V192,2))</f>
        <v/>
      </c>
    </row>
    <row r="193">
      <c r="A193" s="10" t="n"/>
      <c r="B193" s="10" t="n"/>
      <c r="C193" s="10" t="n"/>
      <c r="D193" s="28" t="n"/>
      <c r="E193" s="30" t="n"/>
      <c r="F193" s="30" t="n"/>
      <c r="G193" s="10" t="n"/>
      <c r="H193" s="10" t="n"/>
      <c r="I193" s="10" t="n"/>
      <c r="J193" s="18">
        <f>IF($E193="","",E193-F193)</f>
        <v/>
      </c>
      <c r="K193" s="31">
        <f>IF($A193="","",SUMIFS(Horas!$D:$D,Horas!$B:$B,$A193,Horas!$C:$C,Parametros!$B$5))</f>
        <v/>
      </c>
      <c r="L193" s="31">
        <f>IF($A193="","",SUMIFS(Horas!$D:$D,Horas!$B:$B,$A193,Horas!$C:$C,Parametros!$B$6))</f>
        <v/>
      </c>
      <c r="M193" s="22">
        <f>IF($E193="","",IF(N(K193)+N(L193)=0,Parametros!$C$5,N(K193)/(N(K193)+N(L193))))</f>
        <v/>
      </c>
      <c r="N193" s="18">
        <f>IF($E193="","",J193*Parametros!$B$11+IF(G193=Parametros!$B$16,J193*Parametros!$B$12,0))</f>
        <v/>
      </c>
      <c r="O193" s="18">
        <f>IF($E193="","",IF(G193=Parametros!$B$5,J193*Parametros!$B$12,0))</f>
        <v/>
      </c>
      <c r="P193" s="18">
        <f>IF($E193="","",IF(G193=Parametros!$B$6,J193*Parametros!$B$12,0))</f>
        <v/>
      </c>
      <c r="Q193" s="18">
        <f>IF($E193="","",IF(H193=Parametros!$B$5,J193*Parametros!$B$13,IF(H193=Parametros!$B$6,0,J193*Parametros!$B$13*Parametros!$C$5)))</f>
        <v/>
      </c>
      <c r="R193" s="18">
        <f>IF($E193="","",IF(H193=Parametros!$B$6,J193*Parametros!$B$13,IF(H193=Parametros!$B$5,0,J193*Parametros!$B$13*Parametros!$C$6)))</f>
        <v/>
      </c>
      <c r="S193" s="18">
        <f>IF($E193="","",J193*Parametros!$B$14*M193)</f>
        <v/>
      </c>
      <c r="T193" s="18">
        <f>IF($E193="","",J193*Parametros!$B$14*(1-M193))</f>
        <v/>
      </c>
      <c r="U193" s="18">
        <f>IF($E193="","",O193+Q193+S193)</f>
        <v/>
      </c>
      <c r="V193" s="18">
        <f>IF($E193="","",P193+R193+T193)</f>
        <v/>
      </c>
      <c r="W193" s="18">
        <f>IF($E193="","",ROUND(J193-N193-U193-V193,2))</f>
        <v/>
      </c>
    </row>
    <row r="194">
      <c r="A194" s="10" t="n"/>
      <c r="B194" s="10" t="n"/>
      <c r="C194" s="10" t="n"/>
      <c r="D194" s="28" t="n"/>
      <c r="E194" s="30" t="n"/>
      <c r="F194" s="30" t="n"/>
      <c r="G194" s="10" t="n"/>
      <c r="H194" s="10" t="n"/>
      <c r="I194" s="10" t="n"/>
      <c r="J194" s="18">
        <f>IF($E194="","",E194-F194)</f>
        <v/>
      </c>
      <c r="K194" s="31">
        <f>IF($A194="","",SUMIFS(Horas!$D:$D,Horas!$B:$B,$A194,Horas!$C:$C,Parametros!$B$5))</f>
        <v/>
      </c>
      <c r="L194" s="31">
        <f>IF($A194="","",SUMIFS(Horas!$D:$D,Horas!$B:$B,$A194,Horas!$C:$C,Parametros!$B$6))</f>
        <v/>
      </c>
      <c r="M194" s="22">
        <f>IF($E194="","",IF(N(K194)+N(L194)=0,Parametros!$C$5,N(K194)/(N(K194)+N(L194))))</f>
        <v/>
      </c>
      <c r="N194" s="18">
        <f>IF($E194="","",J194*Parametros!$B$11+IF(G194=Parametros!$B$16,J194*Parametros!$B$12,0))</f>
        <v/>
      </c>
      <c r="O194" s="18">
        <f>IF($E194="","",IF(G194=Parametros!$B$5,J194*Parametros!$B$12,0))</f>
        <v/>
      </c>
      <c r="P194" s="18">
        <f>IF($E194="","",IF(G194=Parametros!$B$6,J194*Parametros!$B$12,0))</f>
        <v/>
      </c>
      <c r="Q194" s="18">
        <f>IF($E194="","",IF(H194=Parametros!$B$5,J194*Parametros!$B$13,IF(H194=Parametros!$B$6,0,J194*Parametros!$B$13*Parametros!$C$5)))</f>
        <v/>
      </c>
      <c r="R194" s="18">
        <f>IF($E194="","",IF(H194=Parametros!$B$6,J194*Parametros!$B$13,IF(H194=Parametros!$B$5,0,J194*Parametros!$B$13*Parametros!$C$6)))</f>
        <v/>
      </c>
      <c r="S194" s="18">
        <f>IF($E194="","",J194*Parametros!$B$14*M194)</f>
        <v/>
      </c>
      <c r="T194" s="18">
        <f>IF($E194="","",J194*Parametros!$B$14*(1-M194))</f>
        <v/>
      </c>
      <c r="U194" s="18">
        <f>IF($E194="","",O194+Q194+S194)</f>
        <v/>
      </c>
      <c r="V194" s="18">
        <f>IF($E194="","",P194+R194+T194)</f>
        <v/>
      </c>
      <c r="W194" s="18">
        <f>IF($E194="","",ROUND(J194-N194-U194-V194,2))</f>
        <v/>
      </c>
    </row>
    <row r="195">
      <c r="A195" s="10" t="n"/>
      <c r="B195" s="10" t="n"/>
      <c r="C195" s="10" t="n"/>
      <c r="D195" s="28" t="n"/>
      <c r="E195" s="30" t="n"/>
      <c r="F195" s="30" t="n"/>
      <c r="G195" s="10" t="n"/>
      <c r="H195" s="10" t="n"/>
      <c r="I195" s="10" t="n"/>
      <c r="J195" s="18">
        <f>IF($E195="","",E195-F195)</f>
        <v/>
      </c>
      <c r="K195" s="31">
        <f>IF($A195="","",SUMIFS(Horas!$D:$D,Horas!$B:$B,$A195,Horas!$C:$C,Parametros!$B$5))</f>
        <v/>
      </c>
      <c r="L195" s="31">
        <f>IF($A195="","",SUMIFS(Horas!$D:$D,Horas!$B:$B,$A195,Horas!$C:$C,Parametros!$B$6))</f>
        <v/>
      </c>
      <c r="M195" s="22">
        <f>IF($E195="","",IF(N(K195)+N(L195)=0,Parametros!$C$5,N(K195)/(N(K195)+N(L195))))</f>
        <v/>
      </c>
      <c r="N195" s="18">
        <f>IF($E195="","",J195*Parametros!$B$11+IF(G195=Parametros!$B$16,J195*Parametros!$B$12,0))</f>
        <v/>
      </c>
      <c r="O195" s="18">
        <f>IF($E195="","",IF(G195=Parametros!$B$5,J195*Parametros!$B$12,0))</f>
        <v/>
      </c>
      <c r="P195" s="18">
        <f>IF($E195="","",IF(G195=Parametros!$B$6,J195*Parametros!$B$12,0))</f>
        <v/>
      </c>
      <c r="Q195" s="18">
        <f>IF($E195="","",IF(H195=Parametros!$B$5,J195*Parametros!$B$13,IF(H195=Parametros!$B$6,0,J195*Parametros!$B$13*Parametros!$C$5)))</f>
        <v/>
      </c>
      <c r="R195" s="18">
        <f>IF($E195="","",IF(H195=Parametros!$B$6,J195*Parametros!$B$13,IF(H195=Parametros!$B$5,0,J195*Parametros!$B$13*Parametros!$C$6)))</f>
        <v/>
      </c>
      <c r="S195" s="18">
        <f>IF($E195="","",J195*Parametros!$B$14*M195)</f>
        <v/>
      </c>
      <c r="T195" s="18">
        <f>IF($E195="","",J195*Parametros!$B$14*(1-M195))</f>
        <v/>
      </c>
      <c r="U195" s="18">
        <f>IF($E195="","",O195+Q195+S195)</f>
        <v/>
      </c>
      <c r="V195" s="18">
        <f>IF($E195="","",P195+R195+T195)</f>
        <v/>
      </c>
      <c r="W195" s="18">
        <f>IF($E195="","",ROUND(J195-N195-U195-V195,2))</f>
        <v/>
      </c>
    </row>
    <row r="196">
      <c r="A196" s="10" t="n"/>
      <c r="B196" s="10" t="n"/>
      <c r="C196" s="10" t="n"/>
      <c r="D196" s="28" t="n"/>
      <c r="E196" s="30" t="n"/>
      <c r="F196" s="30" t="n"/>
      <c r="G196" s="10" t="n"/>
      <c r="H196" s="10" t="n"/>
      <c r="I196" s="10" t="n"/>
      <c r="J196" s="18">
        <f>IF($E196="","",E196-F196)</f>
        <v/>
      </c>
      <c r="K196" s="31">
        <f>IF($A196="","",SUMIFS(Horas!$D:$D,Horas!$B:$B,$A196,Horas!$C:$C,Parametros!$B$5))</f>
        <v/>
      </c>
      <c r="L196" s="31">
        <f>IF($A196="","",SUMIFS(Horas!$D:$D,Horas!$B:$B,$A196,Horas!$C:$C,Parametros!$B$6))</f>
        <v/>
      </c>
      <c r="M196" s="22">
        <f>IF($E196="","",IF(N(K196)+N(L196)=0,Parametros!$C$5,N(K196)/(N(K196)+N(L196))))</f>
        <v/>
      </c>
      <c r="N196" s="18">
        <f>IF($E196="","",J196*Parametros!$B$11+IF(G196=Parametros!$B$16,J196*Parametros!$B$12,0))</f>
        <v/>
      </c>
      <c r="O196" s="18">
        <f>IF($E196="","",IF(G196=Parametros!$B$5,J196*Parametros!$B$12,0))</f>
        <v/>
      </c>
      <c r="P196" s="18">
        <f>IF($E196="","",IF(G196=Parametros!$B$6,J196*Parametros!$B$12,0))</f>
        <v/>
      </c>
      <c r="Q196" s="18">
        <f>IF($E196="","",IF(H196=Parametros!$B$5,J196*Parametros!$B$13,IF(H196=Parametros!$B$6,0,J196*Parametros!$B$13*Parametros!$C$5)))</f>
        <v/>
      </c>
      <c r="R196" s="18">
        <f>IF($E196="","",IF(H196=Parametros!$B$6,J196*Parametros!$B$13,IF(H196=Parametros!$B$5,0,J196*Parametros!$B$13*Parametros!$C$6)))</f>
        <v/>
      </c>
      <c r="S196" s="18">
        <f>IF($E196="","",J196*Parametros!$B$14*M196)</f>
        <v/>
      </c>
      <c r="T196" s="18">
        <f>IF($E196="","",J196*Parametros!$B$14*(1-M196))</f>
        <v/>
      </c>
      <c r="U196" s="18">
        <f>IF($E196="","",O196+Q196+S196)</f>
        <v/>
      </c>
      <c r="V196" s="18">
        <f>IF($E196="","",P196+R196+T196)</f>
        <v/>
      </c>
      <c r="W196" s="18">
        <f>IF($E196="","",ROUND(J196-N196-U196-V196,2))</f>
        <v/>
      </c>
    </row>
    <row r="197">
      <c r="A197" s="10" t="n"/>
      <c r="B197" s="10" t="n"/>
      <c r="C197" s="10" t="n"/>
      <c r="D197" s="28" t="n"/>
      <c r="E197" s="30" t="n"/>
      <c r="F197" s="30" t="n"/>
      <c r="G197" s="10" t="n"/>
      <c r="H197" s="10" t="n"/>
      <c r="I197" s="10" t="n"/>
      <c r="J197" s="18">
        <f>IF($E197="","",E197-F197)</f>
        <v/>
      </c>
      <c r="K197" s="31">
        <f>IF($A197="","",SUMIFS(Horas!$D:$D,Horas!$B:$B,$A197,Horas!$C:$C,Parametros!$B$5))</f>
        <v/>
      </c>
      <c r="L197" s="31">
        <f>IF($A197="","",SUMIFS(Horas!$D:$D,Horas!$B:$B,$A197,Horas!$C:$C,Parametros!$B$6))</f>
        <v/>
      </c>
      <c r="M197" s="22">
        <f>IF($E197="","",IF(N(K197)+N(L197)=0,Parametros!$C$5,N(K197)/(N(K197)+N(L197))))</f>
        <v/>
      </c>
      <c r="N197" s="18">
        <f>IF($E197="","",J197*Parametros!$B$11+IF(G197=Parametros!$B$16,J197*Parametros!$B$12,0))</f>
        <v/>
      </c>
      <c r="O197" s="18">
        <f>IF($E197="","",IF(G197=Parametros!$B$5,J197*Parametros!$B$12,0))</f>
        <v/>
      </c>
      <c r="P197" s="18">
        <f>IF($E197="","",IF(G197=Parametros!$B$6,J197*Parametros!$B$12,0))</f>
        <v/>
      </c>
      <c r="Q197" s="18">
        <f>IF($E197="","",IF(H197=Parametros!$B$5,J197*Parametros!$B$13,IF(H197=Parametros!$B$6,0,J197*Parametros!$B$13*Parametros!$C$5)))</f>
        <v/>
      </c>
      <c r="R197" s="18">
        <f>IF($E197="","",IF(H197=Parametros!$B$6,J197*Parametros!$B$13,IF(H197=Parametros!$B$5,0,J197*Parametros!$B$13*Parametros!$C$6)))</f>
        <v/>
      </c>
      <c r="S197" s="18">
        <f>IF($E197="","",J197*Parametros!$B$14*M197)</f>
        <v/>
      </c>
      <c r="T197" s="18">
        <f>IF($E197="","",J197*Parametros!$B$14*(1-M197))</f>
        <v/>
      </c>
      <c r="U197" s="18">
        <f>IF($E197="","",O197+Q197+S197)</f>
        <v/>
      </c>
      <c r="V197" s="18">
        <f>IF($E197="","",P197+R197+T197)</f>
        <v/>
      </c>
      <c r="W197" s="18">
        <f>IF($E197="","",ROUND(J197-N197-U197-V197,2))</f>
        <v/>
      </c>
    </row>
    <row r="198">
      <c r="A198" s="10" t="n"/>
      <c r="B198" s="10" t="n"/>
      <c r="C198" s="10" t="n"/>
      <c r="D198" s="28" t="n"/>
      <c r="E198" s="30" t="n"/>
      <c r="F198" s="30" t="n"/>
      <c r="G198" s="10" t="n"/>
      <c r="H198" s="10" t="n"/>
      <c r="I198" s="10" t="n"/>
      <c r="J198" s="18">
        <f>IF($E198="","",E198-F198)</f>
        <v/>
      </c>
      <c r="K198" s="31">
        <f>IF($A198="","",SUMIFS(Horas!$D:$D,Horas!$B:$B,$A198,Horas!$C:$C,Parametros!$B$5))</f>
        <v/>
      </c>
      <c r="L198" s="31">
        <f>IF($A198="","",SUMIFS(Horas!$D:$D,Horas!$B:$B,$A198,Horas!$C:$C,Parametros!$B$6))</f>
        <v/>
      </c>
      <c r="M198" s="22">
        <f>IF($E198="","",IF(N(K198)+N(L198)=0,Parametros!$C$5,N(K198)/(N(K198)+N(L198))))</f>
        <v/>
      </c>
      <c r="N198" s="18">
        <f>IF($E198="","",J198*Parametros!$B$11+IF(G198=Parametros!$B$16,J198*Parametros!$B$12,0))</f>
        <v/>
      </c>
      <c r="O198" s="18">
        <f>IF($E198="","",IF(G198=Parametros!$B$5,J198*Parametros!$B$12,0))</f>
        <v/>
      </c>
      <c r="P198" s="18">
        <f>IF($E198="","",IF(G198=Parametros!$B$6,J198*Parametros!$B$12,0))</f>
        <v/>
      </c>
      <c r="Q198" s="18">
        <f>IF($E198="","",IF(H198=Parametros!$B$5,J198*Parametros!$B$13,IF(H198=Parametros!$B$6,0,J198*Parametros!$B$13*Parametros!$C$5)))</f>
        <v/>
      </c>
      <c r="R198" s="18">
        <f>IF($E198="","",IF(H198=Parametros!$B$6,J198*Parametros!$B$13,IF(H198=Parametros!$B$5,0,J198*Parametros!$B$13*Parametros!$C$6)))</f>
        <v/>
      </c>
      <c r="S198" s="18">
        <f>IF($E198="","",J198*Parametros!$B$14*M198)</f>
        <v/>
      </c>
      <c r="T198" s="18">
        <f>IF($E198="","",J198*Parametros!$B$14*(1-M198))</f>
        <v/>
      </c>
      <c r="U198" s="18">
        <f>IF($E198="","",O198+Q198+S198)</f>
        <v/>
      </c>
      <c r="V198" s="18">
        <f>IF($E198="","",P198+R198+T198)</f>
        <v/>
      </c>
      <c r="W198" s="18">
        <f>IF($E198="","",ROUND(J198-N198-U198-V198,2))</f>
        <v/>
      </c>
    </row>
    <row r="199">
      <c r="A199" s="10" t="n"/>
      <c r="B199" s="10" t="n"/>
      <c r="C199" s="10" t="n"/>
      <c r="D199" s="28" t="n"/>
      <c r="E199" s="30" t="n"/>
      <c r="F199" s="30" t="n"/>
      <c r="G199" s="10" t="n"/>
      <c r="H199" s="10" t="n"/>
      <c r="I199" s="10" t="n"/>
      <c r="J199" s="18">
        <f>IF($E199="","",E199-F199)</f>
        <v/>
      </c>
      <c r="K199" s="31">
        <f>IF($A199="","",SUMIFS(Horas!$D:$D,Horas!$B:$B,$A199,Horas!$C:$C,Parametros!$B$5))</f>
        <v/>
      </c>
      <c r="L199" s="31">
        <f>IF($A199="","",SUMIFS(Horas!$D:$D,Horas!$B:$B,$A199,Horas!$C:$C,Parametros!$B$6))</f>
        <v/>
      </c>
      <c r="M199" s="22">
        <f>IF($E199="","",IF(N(K199)+N(L199)=0,Parametros!$C$5,N(K199)/(N(K199)+N(L199))))</f>
        <v/>
      </c>
      <c r="N199" s="18">
        <f>IF($E199="","",J199*Parametros!$B$11+IF(G199=Parametros!$B$16,J199*Parametros!$B$12,0))</f>
        <v/>
      </c>
      <c r="O199" s="18">
        <f>IF($E199="","",IF(G199=Parametros!$B$5,J199*Parametros!$B$12,0))</f>
        <v/>
      </c>
      <c r="P199" s="18">
        <f>IF($E199="","",IF(G199=Parametros!$B$6,J199*Parametros!$B$12,0))</f>
        <v/>
      </c>
      <c r="Q199" s="18">
        <f>IF($E199="","",IF(H199=Parametros!$B$5,J199*Parametros!$B$13,IF(H199=Parametros!$B$6,0,J199*Parametros!$B$13*Parametros!$C$5)))</f>
        <v/>
      </c>
      <c r="R199" s="18">
        <f>IF($E199="","",IF(H199=Parametros!$B$6,J199*Parametros!$B$13,IF(H199=Parametros!$B$5,0,J199*Parametros!$B$13*Parametros!$C$6)))</f>
        <v/>
      </c>
      <c r="S199" s="18">
        <f>IF($E199="","",J199*Parametros!$B$14*M199)</f>
        <v/>
      </c>
      <c r="T199" s="18">
        <f>IF($E199="","",J199*Parametros!$B$14*(1-M199))</f>
        <v/>
      </c>
      <c r="U199" s="18">
        <f>IF($E199="","",O199+Q199+S199)</f>
        <v/>
      </c>
      <c r="V199" s="18">
        <f>IF($E199="","",P199+R199+T199)</f>
        <v/>
      </c>
      <c r="W199" s="18">
        <f>IF($E199="","",ROUND(J199-N199-U199-V199,2))</f>
        <v/>
      </c>
    </row>
    <row r="200">
      <c r="A200" s="10" t="n"/>
      <c r="B200" s="10" t="n"/>
      <c r="C200" s="10" t="n"/>
      <c r="D200" s="28" t="n"/>
      <c r="E200" s="30" t="n"/>
      <c r="F200" s="30" t="n"/>
      <c r="G200" s="10" t="n"/>
      <c r="H200" s="10" t="n"/>
      <c r="I200" s="10" t="n"/>
      <c r="J200" s="18">
        <f>IF($E200="","",E200-F200)</f>
        <v/>
      </c>
      <c r="K200" s="31">
        <f>IF($A200="","",SUMIFS(Horas!$D:$D,Horas!$B:$B,$A200,Horas!$C:$C,Parametros!$B$5))</f>
        <v/>
      </c>
      <c r="L200" s="31">
        <f>IF($A200="","",SUMIFS(Horas!$D:$D,Horas!$B:$B,$A200,Horas!$C:$C,Parametros!$B$6))</f>
        <v/>
      </c>
      <c r="M200" s="22">
        <f>IF($E200="","",IF(N(K200)+N(L200)=0,Parametros!$C$5,N(K200)/(N(K200)+N(L200))))</f>
        <v/>
      </c>
      <c r="N200" s="18">
        <f>IF($E200="","",J200*Parametros!$B$11+IF(G200=Parametros!$B$16,J200*Parametros!$B$12,0))</f>
        <v/>
      </c>
      <c r="O200" s="18">
        <f>IF($E200="","",IF(G200=Parametros!$B$5,J200*Parametros!$B$12,0))</f>
        <v/>
      </c>
      <c r="P200" s="18">
        <f>IF($E200="","",IF(G200=Parametros!$B$6,J200*Parametros!$B$12,0))</f>
        <v/>
      </c>
      <c r="Q200" s="18">
        <f>IF($E200="","",IF(H200=Parametros!$B$5,J200*Parametros!$B$13,IF(H200=Parametros!$B$6,0,J200*Parametros!$B$13*Parametros!$C$5)))</f>
        <v/>
      </c>
      <c r="R200" s="18">
        <f>IF($E200="","",IF(H200=Parametros!$B$6,J200*Parametros!$B$13,IF(H200=Parametros!$B$5,0,J200*Parametros!$B$13*Parametros!$C$6)))</f>
        <v/>
      </c>
      <c r="S200" s="18">
        <f>IF($E200="","",J200*Parametros!$B$14*M200)</f>
        <v/>
      </c>
      <c r="T200" s="18">
        <f>IF($E200="","",J200*Parametros!$B$14*(1-M200))</f>
        <v/>
      </c>
      <c r="U200" s="18">
        <f>IF($E200="","",O200+Q200+S200)</f>
        <v/>
      </c>
      <c r="V200" s="18">
        <f>IF($E200="","",P200+R200+T200)</f>
        <v/>
      </c>
      <c r="W200" s="18">
        <f>IF($E200="","",ROUND(J200-N200-U200-V200,2))</f>
        <v/>
      </c>
    </row>
    <row r="201">
      <c r="A201" s="10" t="n"/>
      <c r="B201" s="10" t="n"/>
      <c r="C201" s="10" t="n"/>
      <c r="D201" s="28" t="n"/>
      <c r="E201" s="30" t="n"/>
      <c r="F201" s="30" t="n"/>
      <c r="G201" s="10" t="n"/>
      <c r="H201" s="10" t="n"/>
      <c r="I201" s="10" t="n"/>
      <c r="J201" s="18">
        <f>IF($E201="","",E201-F201)</f>
        <v/>
      </c>
      <c r="K201" s="31">
        <f>IF($A201="","",SUMIFS(Horas!$D:$D,Horas!$B:$B,$A201,Horas!$C:$C,Parametros!$B$5))</f>
        <v/>
      </c>
      <c r="L201" s="31">
        <f>IF($A201="","",SUMIFS(Horas!$D:$D,Horas!$B:$B,$A201,Horas!$C:$C,Parametros!$B$6))</f>
        <v/>
      </c>
      <c r="M201" s="22">
        <f>IF($E201="","",IF(N(K201)+N(L201)=0,Parametros!$C$5,N(K201)/(N(K201)+N(L201))))</f>
        <v/>
      </c>
      <c r="N201" s="18">
        <f>IF($E201="","",J201*Parametros!$B$11+IF(G201=Parametros!$B$16,J201*Parametros!$B$12,0))</f>
        <v/>
      </c>
      <c r="O201" s="18">
        <f>IF($E201="","",IF(G201=Parametros!$B$5,J201*Parametros!$B$12,0))</f>
        <v/>
      </c>
      <c r="P201" s="18">
        <f>IF($E201="","",IF(G201=Parametros!$B$6,J201*Parametros!$B$12,0))</f>
        <v/>
      </c>
      <c r="Q201" s="18">
        <f>IF($E201="","",IF(H201=Parametros!$B$5,J201*Parametros!$B$13,IF(H201=Parametros!$B$6,0,J201*Parametros!$B$13*Parametros!$C$5)))</f>
        <v/>
      </c>
      <c r="R201" s="18">
        <f>IF($E201="","",IF(H201=Parametros!$B$6,J201*Parametros!$B$13,IF(H201=Parametros!$B$5,0,J201*Parametros!$B$13*Parametros!$C$6)))</f>
        <v/>
      </c>
      <c r="S201" s="18">
        <f>IF($E201="","",J201*Parametros!$B$14*M201)</f>
        <v/>
      </c>
      <c r="T201" s="18">
        <f>IF($E201="","",J201*Parametros!$B$14*(1-M201))</f>
        <v/>
      </c>
      <c r="U201" s="18">
        <f>IF($E201="","",O201+Q201+S201)</f>
        <v/>
      </c>
      <c r="V201" s="18">
        <f>IF($E201="","",P201+R201+T201)</f>
        <v/>
      </c>
      <c r="W201" s="18">
        <f>IF($E201="","",ROUND(J201-N201-U201-V201,2))</f>
        <v/>
      </c>
    </row>
    <row r="202">
      <c r="A202" s="10" t="n"/>
      <c r="B202" s="10" t="n"/>
      <c r="C202" s="10" t="n"/>
      <c r="D202" s="28" t="n"/>
      <c r="E202" s="30" t="n"/>
      <c r="F202" s="30" t="n"/>
      <c r="G202" s="10" t="n"/>
      <c r="H202" s="10" t="n"/>
      <c r="I202" s="10" t="n"/>
      <c r="J202" s="18">
        <f>IF($E202="","",E202-F202)</f>
        <v/>
      </c>
      <c r="K202" s="31">
        <f>IF($A202="","",SUMIFS(Horas!$D:$D,Horas!$B:$B,$A202,Horas!$C:$C,Parametros!$B$5))</f>
        <v/>
      </c>
      <c r="L202" s="31">
        <f>IF($A202="","",SUMIFS(Horas!$D:$D,Horas!$B:$B,$A202,Horas!$C:$C,Parametros!$B$6))</f>
        <v/>
      </c>
      <c r="M202" s="22">
        <f>IF($E202="","",IF(N(K202)+N(L202)=0,Parametros!$C$5,N(K202)/(N(K202)+N(L202))))</f>
        <v/>
      </c>
      <c r="N202" s="18">
        <f>IF($E202="","",J202*Parametros!$B$11+IF(G202=Parametros!$B$16,J202*Parametros!$B$12,0))</f>
        <v/>
      </c>
      <c r="O202" s="18">
        <f>IF($E202="","",IF(G202=Parametros!$B$5,J202*Parametros!$B$12,0))</f>
        <v/>
      </c>
      <c r="P202" s="18">
        <f>IF($E202="","",IF(G202=Parametros!$B$6,J202*Parametros!$B$12,0))</f>
        <v/>
      </c>
      <c r="Q202" s="18">
        <f>IF($E202="","",IF(H202=Parametros!$B$5,J202*Parametros!$B$13,IF(H202=Parametros!$B$6,0,J202*Parametros!$B$13*Parametros!$C$5)))</f>
        <v/>
      </c>
      <c r="R202" s="18">
        <f>IF($E202="","",IF(H202=Parametros!$B$6,J202*Parametros!$B$13,IF(H202=Parametros!$B$5,0,J202*Parametros!$B$13*Parametros!$C$6)))</f>
        <v/>
      </c>
      <c r="S202" s="18">
        <f>IF($E202="","",J202*Parametros!$B$14*M202)</f>
        <v/>
      </c>
      <c r="T202" s="18">
        <f>IF($E202="","",J202*Parametros!$B$14*(1-M202))</f>
        <v/>
      </c>
      <c r="U202" s="18">
        <f>IF($E202="","",O202+Q202+S202)</f>
        <v/>
      </c>
      <c r="V202" s="18">
        <f>IF($E202="","",P202+R202+T202)</f>
        <v/>
      </c>
      <c r="W202" s="18">
        <f>IF($E202="","",ROUND(J202-N202-U202-V202,2))</f>
        <v/>
      </c>
    </row>
    <row r="203">
      <c r="A203" s="10" t="n"/>
      <c r="B203" s="10" t="n"/>
      <c r="C203" s="10" t="n"/>
      <c r="D203" s="28" t="n"/>
      <c r="E203" s="30" t="n"/>
      <c r="F203" s="30" t="n"/>
      <c r="G203" s="10" t="n"/>
      <c r="H203" s="10" t="n"/>
      <c r="I203" s="10" t="n"/>
      <c r="J203" s="18">
        <f>IF($E203="","",E203-F203)</f>
        <v/>
      </c>
      <c r="K203" s="31">
        <f>IF($A203="","",SUMIFS(Horas!$D:$D,Horas!$B:$B,$A203,Horas!$C:$C,Parametros!$B$5))</f>
        <v/>
      </c>
      <c r="L203" s="31">
        <f>IF($A203="","",SUMIFS(Horas!$D:$D,Horas!$B:$B,$A203,Horas!$C:$C,Parametros!$B$6))</f>
        <v/>
      </c>
      <c r="M203" s="22">
        <f>IF($E203="","",IF(N(K203)+N(L203)=0,Parametros!$C$5,N(K203)/(N(K203)+N(L203))))</f>
        <v/>
      </c>
      <c r="N203" s="18">
        <f>IF($E203="","",J203*Parametros!$B$11+IF(G203=Parametros!$B$16,J203*Parametros!$B$12,0))</f>
        <v/>
      </c>
      <c r="O203" s="18">
        <f>IF($E203="","",IF(G203=Parametros!$B$5,J203*Parametros!$B$12,0))</f>
        <v/>
      </c>
      <c r="P203" s="18">
        <f>IF($E203="","",IF(G203=Parametros!$B$6,J203*Parametros!$B$12,0))</f>
        <v/>
      </c>
      <c r="Q203" s="18">
        <f>IF($E203="","",IF(H203=Parametros!$B$5,J203*Parametros!$B$13,IF(H203=Parametros!$B$6,0,J203*Parametros!$B$13*Parametros!$C$5)))</f>
        <v/>
      </c>
      <c r="R203" s="18">
        <f>IF($E203="","",IF(H203=Parametros!$B$6,J203*Parametros!$B$13,IF(H203=Parametros!$B$5,0,J203*Parametros!$B$13*Parametros!$C$6)))</f>
        <v/>
      </c>
      <c r="S203" s="18">
        <f>IF($E203="","",J203*Parametros!$B$14*M203)</f>
        <v/>
      </c>
      <c r="T203" s="18">
        <f>IF($E203="","",J203*Parametros!$B$14*(1-M203))</f>
        <v/>
      </c>
      <c r="U203" s="18">
        <f>IF($E203="","",O203+Q203+S203)</f>
        <v/>
      </c>
      <c r="V203" s="18">
        <f>IF($E203="","",P203+R203+T203)</f>
        <v/>
      </c>
      <c r="W203" s="18">
        <f>IF($E203="","",ROUND(J203-N203-U203-V203,2))</f>
        <v/>
      </c>
    </row>
    <row r="204">
      <c r="A204" s="10" t="n"/>
      <c r="B204" s="10" t="n"/>
      <c r="C204" s="10" t="n"/>
      <c r="D204" s="28" t="n"/>
      <c r="E204" s="30" t="n"/>
      <c r="F204" s="30" t="n"/>
      <c r="G204" s="10" t="n"/>
      <c r="H204" s="10" t="n"/>
      <c r="I204" s="10" t="n"/>
      <c r="J204" s="18">
        <f>IF($E204="","",E204-F204)</f>
        <v/>
      </c>
      <c r="K204" s="31">
        <f>IF($A204="","",SUMIFS(Horas!$D:$D,Horas!$B:$B,$A204,Horas!$C:$C,Parametros!$B$5))</f>
        <v/>
      </c>
      <c r="L204" s="31">
        <f>IF($A204="","",SUMIFS(Horas!$D:$D,Horas!$B:$B,$A204,Horas!$C:$C,Parametros!$B$6))</f>
        <v/>
      </c>
      <c r="M204" s="22">
        <f>IF($E204="","",IF(N(K204)+N(L204)=0,Parametros!$C$5,N(K204)/(N(K204)+N(L204))))</f>
        <v/>
      </c>
      <c r="N204" s="18">
        <f>IF($E204="","",J204*Parametros!$B$11+IF(G204=Parametros!$B$16,J204*Parametros!$B$12,0))</f>
        <v/>
      </c>
      <c r="O204" s="18">
        <f>IF($E204="","",IF(G204=Parametros!$B$5,J204*Parametros!$B$12,0))</f>
        <v/>
      </c>
      <c r="P204" s="18">
        <f>IF($E204="","",IF(G204=Parametros!$B$6,J204*Parametros!$B$12,0))</f>
        <v/>
      </c>
      <c r="Q204" s="18">
        <f>IF($E204="","",IF(H204=Parametros!$B$5,J204*Parametros!$B$13,IF(H204=Parametros!$B$6,0,J204*Parametros!$B$13*Parametros!$C$5)))</f>
        <v/>
      </c>
      <c r="R204" s="18">
        <f>IF($E204="","",IF(H204=Parametros!$B$6,J204*Parametros!$B$13,IF(H204=Parametros!$B$5,0,J204*Parametros!$B$13*Parametros!$C$6)))</f>
        <v/>
      </c>
      <c r="S204" s="18">
        <f>IF($E204="","",J204*Parametros!$B$14*M204)</f>
        <v/>
      </c>
      <c r="T204" s="18">
        <f>IF($E204="","",J204*Parametros!$B$14*(1-M204))</f>
        <v/>
      </c>
      <c r="U204" s="18">
        <f>IF($E204="","",O204+Q204+S204)</f>
        <v/>
      </c>
      <c r="V204" s="18">
        <f>IF($E204="","",P204+R204+T204)</f>
        <v/>
      </c>
      <c r="W204" s="18">
        <f>IF($E204="","",ROUND(J204-N204-U204-V204,2))</f>
        <v/>
      </c>
    </row>
    <row r="205">
      <c r="A205" s="6" t="inlineStr">
        <is>
          <t>TOTALES</t>
        </is>
      </c>
      <c r="B205" s="5" t="n"/>
      <c r="C205" s="5" t="n"/>
      <c r="D205" s="5" t="n"/>
      <c r="E205" s="19">
        <f>SUM(E5:E204)</f>
        <v/>
      </c>
      <c r="F205" s="19">
        <f>SUM(F5:F204)</f>
        <v/>
      </c>
      <c r="G205" s="5" t="n"/>
      <c r="H205" s="5" t="n"/>
      <c r="I205" s="5" t="n"/>
      <c r="J205" s="19">
        <f>SUM(J5:J204)</f>
        <v/>
      </c>
      <c r="K205" s="32">
        <f>SUM(K5:K204)</f>
        <v/>
      </c>
      <c r="L205" s="32">
        <f>SUM(L5:L204)</f>
        <v/>
      </c>
      <c r="M205" s="5" t="n"/>
      <c r="N205" s="19">
        <f>SUM(N5:N204)</f>
        <v/>
      </c>
      <c r="O205" s="19">
        <f>SUM(O5:O204)</f>
        <v/>
      </c>
      <c r="P205" s="19">
        <f>SUM(P5:P204)</f>
        <v/>
      </c>
      <c r="Q205" s="19">
        <f>SUM(Q5:Q204)</f>
        <v/>
      </c>
      <c r="R205" s="19">
        <f>SUM(R5:R204)</f>
        <v/>
      </c>
      <c r="S205" s="19">
        <f>SUM(S5:S204)</f>
        <v/>
      </c>
      <c r="T205" s="19">
        <f>SUM(T5:T204)</f>
        <v/>
      </c>
      <c r="U205" s="19">
        <f>SUM(U5:U204)</f>
        <v/>
      </c>
      <c r="V205" s="19">
        <f>SUM(V5:V204)</f>
        <v/>
      </c>
      <c r="W205" s="19">
        <f>SUM(W5:W204)</f>
        <v/>
      </c>
    </row>
  </sheetData>
  <dataValidations count="3">
    <dataValidation sqref="G7:G204" showDropDown="0" showInputMessage="0" showErrorMessage="0" allowBlank="0" type="list">
      <formula1>=Parametros!$F$5:$F$7</formula1>
    </dataValidation>
    <dataValidation sqref="H7:H204" showDropDown="0" showInputMessage="0" showErrorMessage="0" allowBlank="0" type="list">
      <formula1>=Parametros!$F$5:$F$6</formula1>
    </dataValidation>
    <dataValidation sqref="C5:C204" showDropDown="0" showInputMessage="0" showErrorMessage="0" allowBlank="0" type="list">
      <formula1>=Parametros!$G$5:$G$7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6" customWidth="1" min="3" max="3"/>
    <col width="18" customWidth="1" min="4" max="4"/>
    <col width="30" customWidth="1" min="5" max="5"/>
  </cols>
  <sheetData>
    <row r="1">
      <c r="A1" s="4" t="inlineStr">
        <is>
          <t>Gastos de la empresa (pagados con el Fondo Bouw)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 ht="42" customHeight="1">
      <c r="A4" s="17" t="inlineStr">
        <is>
          <t>Fecha</t>
        </is>
      </c>
      <c r="B4" s="17" t="inlineStr">
        <is>
          <t>Concepto</t>
        </is>
      </c>
      <c r="C4" s="17" t="inlineStr">
        <is>
          <t>Categoría</t>
        </is>
      </c>
      <c r="D4" s="17" t="inlineStr">
        <is>
          <t>Monto sin IVA (USD)</t>
        </is>
      </c>
      <c r="E4" s="17" t="inlineStr">
        <is>
          <t>Nota</t>
        </is>
      </c>
    </row>
    <row r="5">
      <c r="A5" s="28" t="n">
        <v>46296</v>
      </c>
      <c r="B5" s="10" t="inlineStr">
        <is>
          <t>Contador mensual</t>
        </is>
      </c>
      <c r="C5" s="10" t="inlineStr">
        <is>
          <t>Contabilidad</t>
        </is>
      </c>
      <c r="D5" s="30" t="n">
        <v>80</v>
      </c>
      <c r="E5" s="10" t="inlineStr">
        <is>
          <t>EJEMPLO</t>
        </is>
      </c>
    </row>
    <row r="6">
      <c r="A6" s="28" t="n">
        <v>46300</v>
      </c>
      <c r="B6" s="10" t="inlineStr">
        <is>
          <t>Dominio y hosting de la web</t>
        </is>
      </c>
      <c r="C6" s="10" t="inlineStr">
        <is>
          <t>Herramientas</t>
        </is>
      </c>
      <c r="D6" s="30" t="n">
        <v>20</v>
      </c>
      <c r="E6" s="10" t="inlineStr">
        <is>
          <t>EJEMPLO</t>
        </is>
      </c>
    </row>
    <row r="7">
      <c r="A7" s="28" t="n">
        <v>46305</v>
      </c>
      <c r="B7" s="10" t="inlineStr">
        <is>
          <t>Publicidad en Facebook</t>
        </is>
      </c>
      <c r="C7" s="10" t="inlineStr">
        <is>
          <t>Marketing</t>
        </is>
      </c>
      <c r="D7" s="30" t="n">
        <v>100</v>
      </c>
      <c r="E7" s="10" t="inlineStr">
        <is>
          <t>EJEMPLO</t>
        </is>
      </c>
    </row>
    <row r="8">
      <c r="A8" s="28" t="n"/>
      <c r="B8" s="10" t="n"/>
      <c r="C8" s="10" t="n"/>
      <c r="D8" s="30" t="n"/>
      <c r="E8" s="10" t="n"/>
    </row>
    <row r="9">
      <c r="A9" s="28" t="n"/>
      <c r="B9" s="10" t="n"/>
      <c r="C9" s="10" t="n"/>
      <c r="D9" s="30" t="n"/>
      <c r="E9" s="10" t="n"/>
    </row>
    <row r="10">
      <c r="A10" s="28" t="n"/>
      <c r="B10" s="10" t="n"/>
      <c r="C10" s="10" t="n"/>
      <c r="D10" s="30" t="n"/>
      <c r="E10" s="10" t="n"/>
    </row>
    <row r="11">
      <c r="A11" s="28" t="n"/>
      <c r="B11" s="10" t="n"/>
      <c r="C11" s="10" t="n"/>
      <c r="D11" s="30" t="n"/>
      <c r="E11" s="10" t="n"/>
    </row>
    <row r="12">
      <c r="A12" s="28" t="n"/>
      <c r="B12" s="10" t="n"/>
      <c r="C12" s="10" t="n"/>
      <c r="D12" s="30" t="n"/>
      <c r="E12" s="10" t="n"/>
    </row>
    <row r="13">
      <c r="A13" s="28" t="n"/>
      <c r="B13" s="10" t="n"/>
      <c r="C13" s="10" t="n"/>
      <c r="D13" s="30" t="n"/>
      <c r="E13" s="10" t="n"/>
    </row>
    <row r="14">
      <c r="A14" s="28" t="n"/>
      <c r="B14" s="10" t="n"/>
      <c r="C14" s="10" t="n"/>
      <c r="D14" s="30" t="n"/>
      <c r="E14" s="10" t="n"/>
    </row>
    <row r="15">
      <c r="A15" s="28" t="n"/>
      <c r="B15" s="10" t="n"/>
      <c r="C15" s="10" t="n"/>
      <c r="D15" s="30" t="n"/>
      <c r="E15" s="10" t="n"/>
    </row>
    <row r="16">
      <c r="A16" s="28" t="n"/>
      <c r="B16" s="10" t="n"/>
      <c r="C16" s="10" t="n"/>
      <c r="D16" s="30" t="n"/>
      <c r="E16" s="10" t="n"/>
    </row>
    <row r="17">
      <c r="A17" s="28" t="n"/>
      <c r="B17" s="10" t="n"/>
      <c r="C17" s="10" t="n"/>
      <c r="D17" s="30" t="n"/>
      <c r="E17" s="10" t="n"/>
    </row>
    <row r="18">
      <c r="A18" s="28" t="n"/>
      <c r="B18" s="10" t="n"/>
      <c r="C18" s="10" t="n"/>
      <c r="D18" s="30" t="n"/>
      <c r="E18" s="10" t="n"/>
    </row>
    <row r="19">
      <c r="A19" s="28" t="n"/>
      <c r="B19" s="10" t="n"/>
      <c r="C19" s="10" t="n"/>
      <c r="D19" s="30" t="n"/>
      <c r="E19" s="10" t="n"/>
    </row>
    <row r="20">
      <c r="A20" s="28" t="n"/>
      <c r="B20" s="10" t="n"/>
      <c r="C20" s="10" t="n"/>
      <c r="D20" s="30" t="n"/>
      <c r="E20" s="10" t="n"/>
    </row>
    <row r="21">
      <c r="A21" s="28" t="n"/>
      <c r="B21" s="10" t="n"/>
      <c r="C21" s="10" t="n"/>
      <c r="D21" s="30" t="n"/>
      <c r="E21" s="10" t="n"/>
    </row>
    <row r="22">
      <c r="A22" s="28" t="n"/>
      <c r="B22" s="10" t="n"/>
      <c r="C22" s="10" t="n"/>
      <c r="D22" s="30" t="n"/>
      <c r="E22" s="10" t="n"/>
    </row>
    <row r="23">
      <c r="A23" s="28" t="n"/>
      <c r="B23" s="10" t="n"/>
      <c r="C23" s="10" t="n"/>
      <c r="D23" s="30" t="n"/>
      <c r="E23" s="10" t="n"/>
    </row>
    <row r="24">
      <c r="A24" s="28" t="n"/>
      <c r="B24" s="10" t="n"/>
      <c r="C24" s="10" t="n"/>
      <c r="D24" s="30" t="n"/>
      <c r="E24" s="10" t="n"/>
    </row>
    <row r="25">
      <c r="A25" s="28" t="n"/>
      <c r="B25" s="10" t="n"/>
      <c r="C25" s="10" t="n"/>
      <c r="D25" s="30" t="n"/>
      <c r="E25" s="10" t="n"/>
    </row>
    <row r="26">
      <c r="A26" s="28" t="n"/>
      <c r="B26" s="10" t="n"/>
      <c r="C26" s="10" t="n"/>
      <c r="D26" s="30" t="n"/>
      <c r="E26" s="10" t="n"/>
    </row>
    <row r="27">
      <c r="A27" s="28" t="n"/>
      <c r="B27" s="10" t="n"/>
      <c r="C27" s="10" t="n"/>
      <c r="D27" s="30" t="n"/>
      <c r="E27" s="10" t="n"/>
    </row>
    <row r="28">
      <c r="A28" s="28" t="n"/>
      <c r="B28" s="10" t="n"/>
      <c r="C28" s="10" t="n"/>
      <c r="D28" s="30" t="n"/>
      <c r="E28" s="10" t="n"/>
    </row>
    <row r="29">
      <c r="A29" s="28" t="n"/>
      <c r="B29" s="10" t="n"/>
      <c r="C29" s="10" t="n"/>
      <c r="D29" s="30" t="n"/>
      <c r="E29" s="10" t="n"/>
    </row>
    <row r="30">
      <c r="A30" s="28" t="n"/>
      <c r="B30" s="10" t="n"/>
      <c r="C30" s="10" t="n"/>
      <c r="D30" s="30" t="n"/>
      <c r="E30" s="10" t="n"/>
    </row>
    <row r="31">
      <c r="A31" s="28" t="n"/>
      <c r="B31" s="10" t="n"/>
      <c r="C31" s="10" t="n"/>
      <c r="D31" s="30" t="n"/>
      <c r="E31" s="10" t="n"/>
    </row>
    <row r="32">
      <c r="A32" s="28" t="n"/>
      <c r="B32" s="10" t="n"/>
      <c r="C32" s="10" t="n"/>
      <c r="D32" s="30" t="n"/>
      <c r="E32" s="10" t="n"/>
    </row>
    <row r="33">
      <c r="A33" s="28" t="n"/>
      <c r="B33" s="10" t="n"/>
      <c r="C33" s="10" t="n"/>
      <c r="D33" s="30" t="n"/>
      <c r="E33" s="10" t="n"/>
    </row>
    <row r="34">
      <c r="A34" s="28" t="n"/>
      <c r="B34" s="10" t="n"/>
      <c r="C34" s="10" t="n"/>
      <c r="D34" s="30" t="n"/>
      <c r="E34" s="10" t="n"/>
    </row>
    <row r="35">
      <c r="A35" s="28" t="n"/>
      <c r="B35" s="10" t="n"/>
      <c r="C35" s="10" t="n"/>
      <c r="D35" s="30" t="n"/>
      <c r="E35" s="10" t="n"/>
    </row>
    <row r="36">
      <c r="A36" s="28" t="n"/>
      <c r="B36" s="10" t="n"/>
      <c r="C36" s="10" t="n"/>
      <c r="D36" s="30" t="n"/>
      <c r="E36" s="10" t="n"/>
    </row>
    <row r="37">
      <c r="A37" s="28" t="n"/>
      <c r="B37" s="10" t="n"/>
      <c r="C37" s="10" t="n"/>
      <c r="D37" s="30" t="n"/>
      <c r="E37" s="10" t="n"/>
    </row>
    <row r="38">
      <c r="A38" s="28" t="n"/>
      <c r="B38" s="10" t="n"/>
      <c r="C38" s="10" t="n"/>
      <c r="D38" s="30" t="n"/>
      <c r="E38" s="10" t="n"/>
    </row>
    <row r="39">
      <c r="A39" s="28" t="n"/>
      <c r="B39" s="10" t="n"/>
      <c r="C39" s="10" t="n"/>
      <c r="D39" s="30" t="n"/>
      <c r="E39" s="10" t="n"/>
    </row>
    <row r="40">
      <c r="A40" s="28" t="n"/>
      <c r="B40" s="10" t="n"/>
      <c r="C40" s="10" t="n"/>
      <c r="D40" s="30" t="n"/>
      <c r="E40" s="10" t="n"/>
    </row>
    <row r="41">
      <c r="A41" s="28" t="n"/>
      <c r="B41" s="10" t="n"/>
      <c r="C41" s="10" t="n"/>
      <c r="D41" s="30" t="n"/>
      <c r="E41" s="10" t="n"/>
    </row>
    <row r="42">
      <c r="A42" s="28" t="n"/>
      <c r="B42" s="10" t="n"/>
      <c r="C42" s="10" t="n"/>
      <c r="D42" s="30" t="n"/>
      <c r="E42" s="10" t="n"/>
    </row>
    <row r="43">
      <c r="A43" s="28" t="n"/>
      <c r="B43" s="10" t="n"/>
      <c r="C43" s="10" t="n"/>
      <c r="D43" s="30" t="n"/>
      <c r="E43" s="10" t="n"/>
    </row>
    <row r="44">
      <c r="A44" s="28" t="n"/>
      <c r="B44" s="10" t="n"/>
      <c r="C44" s="10" t="n"/>
      <c r="D44" s="30" t="n"/>
      <c r="E44" s="10" t="n"/>
    </row>
    <row r="45">
      <c r="A45" s="28" t="n"/>
      <c r="B45" s="10" t="n"/>
      <c r="C45" s="10" t="n"/>
      <c r="D45" s="30" t="n"/>
      <c r="E45" s="10" t="n"/>
    </row>
    <row r="46">
      <c r="A46" s="28" t="n"/>
      <c r="B46" s="10" t="n"/>
      <c r="C46" s="10" t="n"/>
      <c r="D46" s="30" t="n"/>
      <c r="E46" s="10" t="n"/>
    </row>
    <row r="47">
      <c r="A47" s="28" t="n"/>
      <c r="B47" s="10" t="n"/>
      <c r="C47" s="10" t="n"/>
      <c r="D47" s="30" t="n"/>
      <c r="E47" s="10" t="n"/>
    </row>
    <row r="48">
      <c r="A48" s="28" t="n"/>
      <c r="B48" s="10" t="n"/>
      <c r="C48" s="10" t="n"/>
      <c r="D48" s="30" t="n"/>
      <c r="E48" s="10" t="n"/>
    </row>
    <row r="49">
      <c r="A49" s="28" t="n"/>
      <c r="B49" s="10" t="n"/>
      <c r="C49" s="10" t="n"/>
      <c r="D49" s="30" t="n"/>
      <c r="E49" s="10" t="n"/>
    </row>
    <row r="50">
      <c r="A50" s="28" t="n"/>
      <c r="B50" s="10" t="n"/>
      <c r="C50" s="10" t="n"/>
      <c r="D50" s="30" t="n"/>
      <c r="E50" s="10" t="n"/>
    </row>
    <row r="51">
      <c r="A51" s="28" t="n"/>
      <c r="B51" s="10" t="n"/>
      <c r="C51" s="10" t="n"/>
      <c r="D51" s="30" t="n"/>
      <c r="E51" s="10" t="n"/>
    </row>
    <row r="52">
      <c r="A52" s="28" t="n"/>
      <c r="B52" s="10" t="n"/>
      <c r="C52" s="10" t="n"/>
      <c r="D52" s="30" t="n"/>
      <c r="E52" s="10" t="n"/>
    </row>
    <row r="53">
      <c r="A53" s="28" t="n"/>
      <c r="B53" s="10" t="n"/>
      <c r="C53" s="10" t="n"/>
      <c r="D53" s="30" t="n"/>
      <c r="E53" s="10" t="n"/>
    </row>
    <row r="54">
      <c r="A54" s="28" t="n"/>
      <c r="B54" s="10" t="n"/>
      <c r="C54" s="10" t="n"/>
      <c r="D54" s="30" t="n"/>
      <c r="E54" s="10" t="n"/>
    </row>
    <row r="55">
      <c r="A55" s="28" t="n"/>
      <c r="B55" s="10" t="n"/>
      <c r="C55" s="10" t="n"/>
      <c r="D55" s="30" t="n"/>
      <c r="E55" s="10" t="n"/>
    </row>
    <row r="56">
      <c r="A56" s="28" t="n"/>
      <c r="B56" s="10" t="n"/>
      <c r="C56" s="10" t="n"/>
      <c r="D56" s="30" t="n"/>
      <c r="E56" s="10" t="n"/>
    </row>
    <row r="57">
      <c r="A57" s="28" t="n"/>
      <c r="B57" s="10" t="n"/>
      <c r="C57" s="10" t="n"/>
      <c r="D57" s="30" t="n"/>
      <c r="E57" s="10" t="n"/>
    </row>
    <row r="58">
      <c r="A58" s="28" t="n"/>
      <c r="B58" s="10" t="n"/>
      <c r="C58" s="10" t="n"/>
      <c r="D58" s="30" t="n"/>
      <c r="E58" s="10" t="n"/>
    </row>
    <row r="59">
      <c r="A59" s="28" t="n"/>
      <c r="B59" s="10" t="n"/>
      <c r="C59" s="10" t="n"/>
      <c r="D59" s="30" t="n"/>
      <c r="E59" s="10" t="n"/>
    </row>
    <row r="60">
      <c r="A60" s="28" t="n"/>
      <c r="B60" s="10" t="n"/>
      <c r="C60" s="10" t="n"/>
      <c r="D60" s="30" t="n"/>
      <c r="E60" s="10" t="n"/>
    </row>
    <row r="61">
      <c r="A61" s="28" t="n"/>
      <c r="B61" s="10" t="n"/>
      <c r="C61" s="10" t="n"/>
      <c r="D61" s="30" t="n"/>
      <c r="E61" s="10" t="n"/>
    </row>
    <row r="62">
      <c r="A62" s="28" t="n"/>
      <c r="B62" s="10" t="n"/>
      <c r="C62" s="10" t="n"/>
      <c r="D62" s="30" t="n"/>
      <c r="E62" s="10" t="n"/>
    </row>
    <row r="63">
      <c r="A63" s="28" t="n"/>
      <c r="B63" s="10" t="n"/>
      <c r="C63" s="10" t="n"/>
      <c r="D63" s="30" t="n"/>
      <c r="E63" s="10" t="n"/>
    </row>
    <row r="64">
      <c r="A64" s="28" t="n"/>
      <c r="B64" s="10" t="n"/>
      <c r="C64" s="10" t="n"/>
      <c r="D64" s="30" t="n"/>
      <c r="E64" s="10" t="n"/>
    </row>
    <row r="65">
      <c r="A65" s="28" t="n"/>
      <c r="B65" s="10" t="n"/>
      <c r="C65" s="10" t="n"/>
      <c r="D65" s="30" t="n"/>
      <c r="E65" s="10" t="n"/>
    </row>
    <row r="66">
      <c r="A66" s="28" t="n"/>
      <c r="B66" s="10" t="n"/>
      <c r="C66" s="10" t="n"/>
      <c r="D66" s="30" t="n"/>
      <c r="E66" s="10" t="n"/>
    </row>
    <row r="67">
      <c r="A67" s="28" t="n"/>
      <c r="B67" s="10" t="n"/>
      <c r="C67" s="10" t="n"/>
      <c r="D67" s="30" t="n"/>
      <c r="E67" s="10" t="n"/>
    </row>
    <row r="68">
      <c r="A68" s="28" t="n"/>
      <c r="B68" s="10" t="n"/>
      <c r="C68" s="10" t="n"/>
      <c r="D68" s="30" t="n"/>
      <c r="E68" s="10" t="n"/>
    </row>
    <row r="69">
      <c r="A69" s="28" t="n"/>
      <c r="B69" s="10" t="n"/>
      <c r="C69" s="10" t="n"/>
      <c r="D69" s="30" t="n"/>
      <c r="E69" s="10" t="n"/>
    </row>
    <row r="70">
      <c r="A70" s="28" t="n"/>
      <c r="B70" s="10" t="n"/>
      <c r="C70" s="10" t="n"/>
      <c r="D70" s="30" t="n"/>
      <c r="E70" s="10" t="n"/>
    </row>
    <row r="71">
      <c r="A71" s="28" t="n"/>
      <c r="B71" s="10" t="n"/>
      <c r="C71" s="10" t="n"/>
      <c r="D71" s="30" t="n"/>
      <c r="E71" s="10" t="n"/>
    </row>
    <row r="72">
      <c r="A72" s="28" t="n"/>
      <c r="B72" s="10" t="n"/>
      <c r="C72" s="10" t="n"/>
      <c r="D72" s="30" t="n"/>
      <c r="E72" s="10" t="n"/>
    </row>
    <row r="73">
      <c r="A73" s="28" t="n"/>
      <c r="B73" s="10" t="n"/>
      <c r="C73" s="10" t="n"/>
      <c r="D73" s="30" t="n"/>
      <c r="E73" s="10" t="n"/>
    </row>
    <row r="74">
      <c r="A74" s="28" t="n"/>
      <c r="B74" s="10" t="n"/>
      <c r="C74" s="10" t="n"/>
      <c r="D74" s="30" t="n"/>
      <c r="E74" s="10" t="n"/>
    </row>
    <row r="75">
      <c r="A75" s="28" t="n"/>
      <c r="B75" s="10" t="n"/>
      <c r="C75" s="10" t="n"/>
      <c r="D75" s="30" t="n"/>
      <c r="E75" s="10" t="n"/>
    </row>
    <row r="76">
      <c r="A76" s="28" t="n"/>
      <c r="B76" s="10" t="n"/>
      <c r="C76" s="10" t="n"/>
      <c r="D76" s="30" t="n"/>
      <c r="E76" s="10" t="n"/>
    </row>
    <row r="77">
      <c r="A77" s="28" t="n"/>
      <c r="B77" s="10" t="n"/>
      <c r="C77" s="10" t="n"/>
      <c r="D77" s="30" t="n"/>
      <c r="E77" s="10" t="n"/>
    </row>
    <row r="78">
      <c r="A78" s="28" t="n"/>
      <c r="B78" s="10" t="n"/>
      <c r="C78" s="10" t="n"/>
      <c r="D78" s="30" t="n"/>
      <c r="E78" s="10" t="n"/>
    </row>
    <row r="79">
      <c r="A79" s="28" t="n"/>
      <c r="B79" s="10" t="n"/>
      <c r="C79" s="10" t="n"/>
      <c r="D79" s="30" t="n"/>
      <c r="E79" s="10" t="n"/>
    </row>
    <row r="80">
      <c r="A80" s="28" t="n"/>
      <c r="B80" s="10" t="n"/>
      <c r="C80" s="10" t="n"/>
      <c r="D80" s="30" t="n"/>
      <c r="E80" s="10" t="n"/>
    </row>
    <row r="81">
      <c r="A81" s="28" t="n"/>
      <c r="B81" s="10" t="n"/>
      <c r="C81" s="10" t="n"/>
      <c r="D81" s="30" t="n"/>
      <c r="E81" s="10" t="n"/>
    </row>
    <row r="82">
      <c r="A82" s="28" t="n"/>
      <c r="B82" s="10" t="n"/>
      <c r="C82" s="10" t="n"/>
      <c r="D82" s="30" t="n"/>
      <c r="E82" s="10" t="n"/>
    </row>
    <row r="83">
      <c r="A83" s="28" t="n"/>
      <c r="B83" s="10" t="n"/>
      <c r="C83" s="10" t="n"/>
      <c r="D83" s="30" t="n"/>
      <c r="E83" s="10" t="n"/>
    </row>
    <row r="84">
      <c r="A84" s="28" t="n"/>
      <c r="B84" s="10" t="n"/>
      <c r="C84" s="10" t="n"/>
      <c r="D84" s="30" t="n"/>
      <c r="E84" s="10" t="n"/>
    </row>
    <row r="85">
      <c r="A85" s="28" t="n"/>
      <c r="B85" s="10" t="n"/>
      <c r="C85" s="10" t="n"/>
      <c r="D85" s="30" t="n"/>
      <c r="E85" s="10" t="n"/>
    </row>
    <row r="86">
      <c r="A86" s="28" t="n"/>
      <c r="B86" s="10" t="n"/>
      <c r="C86" s="10" t="n"/>
      <c r="D86" s="30" t="n"/>
      <c r="E86" s="10" t="n"/>
    </row>
    <row r="87">
      <c r="A87" s="28" t="n"/>
      <c r="B87" s="10" t="n"/>
      <c r="C87" s="10" t="n"/>
      <c r="D87" s="30" t="n"/>
      <c r="E87" s="10" t="n"/>
    </row>
    <row r="88">
      <c r="A88" s="28" t="n"/>
      <c r="B88" s="10" t="n"/>
      <c r="C88" s="10" t="n"/>
      <c r="D88" s="30" t="n"/>
      <c r="E88" s="10" t="n"/>
    </row>
    <row r="89">
      <c r="A89" s="28" t="n"/>
      <c r="B89" s="10" t="n"/>
      <c r="C89" s="10" t="n"/>
      <c r="D89" s="30" t="n"/>
      <c r="E89" s="10" t="n"/>
    </row>
    <row r="90">
      <c r="A90" s="28" t="n"/>
      <c r="B90" s="10" t="n"/>
      <c r="C90" s="10" t="n"/>
      <c r="D90" s="30" t="n"/>
      <c r="E90" s="10" t="n"/>
    </row>
    <row r="91">
      <c r="A91" s="28" t="n"/>
      <c r="B91" s="10" t="n"/>
      <c r="C91" s="10" t="n"/>
      <c r="D91" s="30" t="n"/>
      <c r="E91" s="10" t="n"/>
    </row>
    <row r="92">
      <c r="A92" s="28" t="n"/>
      <c r="B92" s="10" t="n"/>
      <c r="C92" s="10" t="n"/>
      <c r="D92" s="30" t="n"/>
      <c r="E92" s="10" t="n"/>
    </row>
    <row r="93">
      <c r="A93" s="28" t="n"/>
      <c r="B93" s="10" t="n"/>
      <c r="C93" s="10" t="n"/>
      <c r="D93" s="30" t="n"/>
      <c r="E93" s="10" t="n"/>
    </row>
    <row r="94">
      <c r="A94" s="28" t="n"/>
      <c r="B94" s="10" t="n"/>
      <c r="C94" s="10" t="n"/>
      <c r="D94" s="30" t="n"/>
      <c r="E94" s="10" t="n"/>
    </row>
    <row r="95">
      <c r="A95" s="28" t="n"/>
      <c r="B95" s="10" t="n"/>
      <c r="C95" s="10" t="n"/>
      <c r="D95" s="30" t="n"/>
      <c r="E95" s="10" t="n"/>
    </row>
    <row r="96">
      <c r="A96" s="28" t="n"/>
      <c r="B96" s="10" t="n"/>
      <c r="C96" s="10" t="n"/>
      <c r="D96" s="30" t="n"/>
      <c r="E96" s="10" t="n"/>
    </row>
    <row r="97">
      <c r="A97" s="28" t="n"/>
      <c r="B97" s="10" t="n"/>
      <c r="C97" s="10" t="n"/>
      <c r="D97" s="30" t="n"/>
      <c r="E97" s="10" t="n"/>
    </row>
    <row r="98">
      <c r="A98" s="28" t="n"/>
      <c r="B98" s="10" t="n"/>
      <c r="C98" s="10" t="n"/>
      <c r="D98" s="30" t="n"/>
      <c r="E98" s="10" t="n"/>
    </row>
    <row r="99">
      <c r="A99" s="28" t="n"/>
      <c r="B99" s="10" t="n"/>
      <c r="C99" s="10" t="n"/>
      <c r="D99" s="30" t="n"/>
      <c r="E99" s="10" t="n"/>
    </row>
    <row r="100">
      <c r="A100" s="28" t="n"/>
      <c r="B100" s="10" t="n"/>
      <c r="C100" s="10" t="n"/>
      <c r="D100" s="30" t="n"/>
      <c r="E100" s="10" t="n"/>
    </row>
    <row r="101">
      <c r="A101" s="28" t="n"/>
      <c r="B101" s="10" t="n"/>
      <c r="C101" s="10" t="n"/>
      <c r="D101" s="30" t="n"/>
      <c r="E101" s="10" t="n"/>
    </row>
    <row r="102">
      <c r="A102" s="28" t="n"/>
      <c r="B102" s="10" t="n"/>
      <c r="C102" s="10" t="n"/>
      <c r="D102" s="30" t="n"/>
      <c r="E102" s="10" t="n"/>
    </row>
    <row r="103">
      <c r="A103" s="28" t="n"/>
      <c r="B103" s="10" t="n"/>
      <c r="C103" s="10" t="n"/>
      <c r="D103" s="30" t="n"/>
      <c r="E103" s="10" t="n"/>
    </row>
    <row r="104">
      <c r="A104" s="28" t="n"/>
      <c r="B104" s="10" t="n"/>
      <c r="C104" s="10" t="n"/>
      <c r="D104" s="30" t="n"/>
      <c r="E104" s="10" t="n"/>
    </row>
    <row r="105">
      <c r="A105" s="28" t="n"/>
      <c r="B105" s="10" t="n"/>
      <c r="C105" s="10" t="n"/>
      <c r="D105" s="30" t="n"/>
      <c r="E105" s="10" t="n"/>
    </row>
    <row r="106">
      <c r="A106" s="28" t="n"/>
      <c r="B106" s="10" t="n"/>
      <c r="C106" s="10" t="n"/>
      <c r="D106" s="30" t="n"/>
      <c r="E106" s="10" t="n"/>
    </row>
    <row r="107">
      <c r="A107" s="28" t="n"/>
      <c r="B107" s="10" t="n"/>
      <c r="C107" s="10" t="n"/>
      <c r="D107" s="30" t="n"/>
      <c r="E107" s="10" t="n"/>
    </row>
    <row r="108">
      <c r="A108" s="28" t="n"/>
      <c r="B108" s="10" t="n"/>
      <c r="C108" s="10" t="n"/>
      <c r="D108" s="30" t="n"/>
      <c r="E108" s="10" t="n"/>
    </row>
    <row r="109">
      <c r="A109" s="28" t="n"/>
      <c r="B109" s="10" t="n"/>
      <c r="C109" s="10" t="n"/>
      <c r="D109" s="30" t="n"/>
      <c r="E109" s="10" t="n"/>
    </row>
    <row r="110">
      <c r="A110" s="28" t="n"/>
      <c r="B110" s="10" t="n"/>
      <c r="C110" s="10" t="n"/>
      <c r="D110" s="30" t="n"/>
      <c r="E110" s="10" t="n"/>
    </row>
    <row r="111">
      <c r="A111" s="28" t="n"/>
      <c r="B111" s="10" t="n"/>
      <c r="C111" s="10" t="n"/>
      <c r="D111" s="30" t="n"/>
      <c r="E111" s="10" t="n"/>
    </row>
    <row r="112">
      <c r="A112" s="28" t="n"/>
      <c r="B112" s="10" t="n"/>
      <c r="C112" s="10" t="n"/>
      <c r="D112" s="30" t="n"/>
      <c r="E112" s="10" t="n"/>
    </row>
    <row r="113">
      <c r="A113" s="28" t="n"/>
      <c r="B113" s="10" t="n"/>
      <c r="C113" s="10" t="n"/>
      <c r="D113" s="30" t="n"/>
      <c r="E113" s="10" t="n"/>
    </row>
    <row r="114">
      <c r="A114" s="28" t="n"/>
      <c r="B114" s="10" t="n"/>
      <c r="C114" s="10" t="n"/>
      <c r="D114" s="30" t="n"/>
      <c r="E114" s="10" t="n"/>
    </row>
    <row r="115">
      <c r="A115" s="28" t="n"/>
      <c r="B115" s="10" t="n"/>
      <c r="C115" s="10" t="n"/>
      <c r="D115" s="30" t="n"/>
      <c r="E115" s="10" t="n"/>
    </row>
    <row r="116">
      <c r="A116" s="28" t="n"/>
      <c r="B116" s="10" t="n"/>
      <c r="C116" s="10" t="n"/>
      <c r="D116" s="30" t="n"/>
      <c r="E116" s="10" t="n"/>
    </row>
    <row r="117">
      <c r="A117" s="28" t="n"/>
      <c r="B117" s="10" t="n"/>
      <c r="C117" s="10" t="n"/>
      <c r="D117" s="30" t="n"/>
      <c r="E117" s="10" t="n"/>
    </row>
    <row r="118">
      <c r="A118" s="28" t="n"/>
      <c r="B118" s="10" t="n"/>
      <c r="C118" s="10" t="n"/>
      <c r="D118" s="30" t="n"/>
      <c r="E118" s="10" t="n"/>
    </row>
    <row r="119">
      <c r="A119" s="28" t="n"/>
      <c r="B119" s="10" t="n"/>
      <c r="C119" s="10" t="n"/>
      <c r="D119" s="30" t="n"/>
      <c r="E119" s="10" t="n"/>
    </row>
    <row r="120">
      <c r="A120" s="28" t="n"/>
      <c r="B120" s="10" t="n"/>
      <c r="C120" s="10" t="n"/>
      <c r="D120" s="30" t="n"/>
      <c r="E120" s="10" t="n"/>
    </row>
    <row r="121">
      <c r="A121" s="28" t="n"/>
      <c r="B121" s="10" t="n"/>
      <c r="C121" s="10" t="n"/>
      <c r="D121" s="30" t="n"/>
      <c r="E121" s="10" t="n"/>
    </row>
    <row r="122">
      <c r="A122" s="28" t="n"/>
      <c r="B122" s="10" t="n"/>
      <c r="C122" s="10" t="n"/>
      <c r="D122" s="30" t="n"/>
      <c r="E122" s="10" t="n"/>
    </row>
    <row r="123">
      <c r="A123" s="28" t="n"/>
      <c r="B123" s="10" t="n"/>
      <c r="C123" s="10" t="n"/>
      <c r="D123" s="30" t="n"/>
      <c r="E123" s="10" t="n"/>
    </row>
    <row r="124">
      <c r="A124" s="28" t="n"/>
      <c r="B124" s="10" t="n"/>
      <c r="C124" s="10" t="n"/>
      <c r="D124" s="30" t="n"/>
      <c r="E124" s="10" t="n"/>
    </row>
    <row r="125">
      <c r="A125" s="28" t="n"/>
      <c r="B125" s="10" t="n"/>
      <c r="C125" s="10" t="n"/>
      <c r="D125" s="30" t="n"/>
      <c r="E125" s="10" t="n"/>
    </row>
    <row r="126">
      <c r="A126" s="28" t="n"/>
      <c r="B126" s="10" t="n"/>
      <c r="C126" s="10" t="n"/>
      <c r="D126" s="30" t="n"/>
      <c r="E126" s="10" t="n"/>
    </row>
    <row r="127">
      <c r="A127" s="28" t="n"/>
      <c r="B127" s="10" t="n"/>
      <c r="C127" s="10" t="n"/>
      <c r="D127" s="30" t="n"/>
      <c r="E127" s="10" t="n"/>
    </row>
    <row r="128">
      <c r="A128" s="28" t="n"/>
      <c r="B128" s="10" t="n"/>
      <c r="C128" s="10" t="n"/>
      <c r="D128" s="30" t="n"/>
      <c r="E128" s="10" t="n"/>
    </row>
    <row r="129">
      <c r="A129" s="28" t="n"/>
      <c r="B129" s="10" t="n"/>
      <c r="C129" s="10" t="n"/>
      <c r="D129" s="30" t="n"/>
      <c r="E129" s="10" t="n"/>
    </row>
    <row r="130">
      <c r="A130" s="28" t="n"/>
      <c r="B130" s="10" t="n"/>
      <c r="C130" s="10" t="n"/>
      <c r="D130" s="30" t="n"/>
      <c r="E130" s="10" t="n"/>
    </row>
    <row r="131">
      <c r="A131" s="28" t="n"/>
      <c r="B131" s="10" t="n"/>
      <c r="C131" s="10" t="n"/>
      <c r="D131" s="30" t="n"/>
      <c r="E131" s="10" t="n"/>
    </row>
    <row r="132">
      <c r="A132" s="28" t="n"/>
      <c r="B132" s="10" t="n"/>
      <c r="C132" s="10" t="n"/>
      <c r="D132" s="30" t="n"/>
      <c r="E132" s="10" t="n"/>
    </row>
    <row r="133">
      <c r="A133" s="28" t="n"/>
      <c r="B133" s="10" t="n"/>
      <c r="C133" s="10" t="n"/>
      <c r="D133" s="30" t="n"/>
      <c r="E133" s="10" t="n"/>
    </row>
    <row r="134">
      <c r="A134" s="28" t="n"/>
      <c r="B134" s="10" t="n"/>
      <c r="C134" s="10" t="n"/>
      <c r="D134" s="30" t="n"/>
      <c r="E134" s="10" t="n"/>
    </row>
    <row r="135">
      <c r="A135" s="28" t="n"/>
      <c r="B135" s="10" t="n"/>
      <c r="C135" s="10" t="n"/>
      <c r="D135" s="30" t="n"/>
      <c r="E135" s="10" t="n"/>
    </row>
    <row r="136">
      <c r="A136" s="28" t="n"/>
      <c r="B136" s="10" t="n"/>
      <c r="C136" s="10" t="n"/>
      <c r="D136" s="30" t="n"/>
      <c r="E136" s="10" t="n"/>
    </row>
    <row r="137">
      <c r="A137" s="28" t="n"/>
      <c r="B137" s="10" t="n"/>
      <c r="C137" s="10" t="n"/>
      <c r="D137" s="30" t="n"/>
      <c r="E137" s="10" t="n"/>
    </row>
    <row r="138">
      <c r="A138" s="28" t="n"/>
      <c r="B138" s="10" t="n"/>
      <c r="C138" s="10" t="n"/>
      <c r="D138" s="30" t="n"/>
      <c r="E138" s="10" t="n"/>
    </row>
    <row r="139">
      <c r="A139" s="28" t="n"/>
      <c r="B139" s="10" t="n"/>
      <c r="C139" s="10" t="n"/>
      <c r="D139" s="30" t="n"/>
      <c r="E139" s="10" t="n"/>
    </row>
    <row r="140">
      <c r="A140" s="28" t="n"/>
      <c r="B140" s="10" t="n"/>
      <c r="C140" s="10" t="n"/>
      <c r="D140" s="30" t="n"/>
      <c r="E140" s="10" t="n"/>
    </row>
    <row r="141">
      <c r="A141" s="28" t="n"/>
      <c r="B141" s="10" t="n"/>
      <c r="C141" s="10" t="n"/>
      <c r="D141" s="30" t="n"/>
      <c r="E141" s="10" t="n"/>
    </row>
    <row r="142">
      <c r="A142" s="28" t="n"/>
      <c r="B142" s="10" t="n"/>
      <c r="C142" s="10" t="n"/>
      <c r="D142" s="30" t="n"/>
      <c r="E142" s="10" t="n"/>
    </row>
    <row r="143">
      <c r="A143" s="28" t="n"/>
      <c r="B143" s="10" t="n"/>
      <c r="C143" s="10" t="n"/>
      <c r="D143" s="30" t="n"/>
      <c r="E143" s="10" t="n"/>
    </row>
    <row r="144">
      <c r="A144" s="28" t="n"/>
      <c r="B144" s="10" t="n"/>
      <c r="C144" s="10" t="n"/>
      <c r="D144" s="30" t="n"/>
      <c r="E144" s="10" t="n"/>
    </row>
    <row r="145">
      <c r="A145" s="28" t="n"/>
      <c r="B145" s="10" t="n"/>
      <c r="C145" s="10" t="n"/>
      <c r="D145" s="30" t="n"/>
      <c r="E145" s="10" t="n"/>
    </row>
    <row r="146">
      <c r="A146" s="28" t="n"/>
      <c r="B146" s="10" t="n"/>
      <c r="C146" s="10" t="n"/>
      <c r="D146" s="30" t="n"/>
      <c r="E146" s="10" t="n"/>
    </row>
    <row r="147">
      <c r="A147" s="28" t="n"/>
      <c r="B147" s="10" t="n"/>
      <c r="C147" s="10" t="n"/>
      <c r="D147" s="30" t="n"/>
      <c r="E147" s="10" t="n"/>
    </row>
    <row r="148">
      <c r="A148" s="28" t="n"/>
      <c r="B148" s="10" t="n"/>
      <c r="C148" s="10" t="n"/>
      <c r="D148" s="30" t="n"/>
      <c r="E148" s="10" t="n"/>
    </row>
    <row r="149">
      <c r="A149" s="28" t="n"/>
      <c r="B149" s="10" t="n"/>
      <c r="C149" s="10" t="n"/>
      <c r="D149" s="30" t="n"/>
      <c r="E149" s="10" t="n"/>
    </row>
    <row r="150">
      <c r="A150" s="28" t="n"/>
      <c r="B150" s="10" t="n"/>
      <c r="C150" s="10" t="n"/>
      <c r="D150" s="30" t="n"/>
      <c r="E150" s="10" t="n"/>
    </row>
    <row r="151">
      <c r="A151" s="28" t="n"/>
      <c r="B151" s="10" t="n"/>
      <c r="C151" s="10" t="n"/>
      <c r="D151" s="30" t="n"/>
      <c r="E151" s="10" t="n"/>
    </row>
    <row r="152">
      <c r="A152" s="28" t="n"/>
      <c r="B152" s="10" t="n"/>
      <c r="C152" s="10" t="n"/>
      <c r="D152" s="30" t="n"/>
      <c r="E152" s="10" t="n"/>
    </row>
    <row r="153">
      <c r="A153" s="28" t="n"/>
      <c r="B153" s="10" t="n"/>
      <c r="C153" s="10" t="n"/>
      <c r="D153" s="30" t="n"/>
      <c r="E153" s="10" t="n"/>
    </row>
    <row r="154">
      <c r="A154" s="28" t="n"/>
      <c r="B154" s="10" t="n"/>
      <c r="C154" s="10" t="n"/>
      <c r="D154" s="30" t="n"/>
      <c r="E154" s="10" t="n"/>
    </row>
    <row r="155">
      <c r="A155" s="28" t="n"/>
      <c r="B155" s="10" t="n"/>
      <c r="C155" s="10" t="n"/>
      <c r="D155" s="30" t="n"/>
      <c r="E155" s="10" t="n"/>
    </row>
    <row r="156">
      <c r="A156" s="28" t="n"/>
      <c r="B156" s="10" t="n"/>
      <c r="C156" s="10" t="n"/>
      <c r="D156" s="30" t="n"/>
      <c r="E156" s="10" t="n"/>
    </row>
    <row r="157">
      <c r="A157" s="28" t="n"/>
      <c r="B157" s="10" t="n"/>
      <c r="C157" s="10" t="n"/>
      <c r="D157" s="30" t="n"/>
      <c r="E157" s="10" t="n"/>
    </row>
    <row r="158">
      <c r="A158" s="28" t="n"/>
      <c r="B158" s="10" t="n"/>
      <c r="C158" s="10" t="n"/>
      <c r="D158" s="30" t="n"/>
      <c r="E158" s="10" t="n"/>
    </row>
    <row r="159">
      <c r="A159" s="28" t="n"/>
      <c r="B159" s="10" t="n"/>
      <c r="C159" s="10" t="n"/>
      <c r="D159" s="30" t="n"/>
      <c r="E159" s="10" t="n"/>
    </row>
    <row r="160">
      <c r="A160" s="28" t="n"/>
      <c r="B160" s="10" t="n"/>
      <c r="C160" s="10" t="n"/>
      <c r="D160" s="30" t="n"/>
      <c r="E160" s="10" t="n"/>
    </row>
    <row r="161">
      <c r="A161" s="28" t="n"/>
      <c r="B161" s="10" t="n"/>
      <c r="C161" s="10" t="n"/>
      <c r="D161" s="30" t="n"/>
      <c r="E161" s="10" t="n"/>
    </row>
    <row r="162">
      <c r="A162" s="28" t="n"/>
      <c r="B162" s="10" t="n"/>
      <c r="C162" s="10" t="n"/>
      <c r="D162" s="30" t="n"/>
      <c r="E162" s="10" t="n"/>
    </row>
    <row r="163">
      <c r="A163" s="28" t="n"/>
      <c r="B163" s="10" t="n"/>
      <c r="C163" s="10" t="n"/>
      <c r="D163" s="30" t="n"/>
      <c r="E163" s="10" t="n"/>
    </row>
    <row r="164">
      <c r="A164" s="28" t="n"/>
      <c r="B164" s="10" t="n"/>
      <c r="C164" s="10" t="n"/>
      <c r="D164" s="30" t="n"/>
      <c r="E164" s="10" t="n"/>
    </row>
    <row r="165">
      <c r="A165" s="28" t="n"/>
      <c r="B165" s="10" t="n"/>
      <c r="C165" s="10" t="n"/>
      <c r="D165" s="30" t="n"/>
      <c r="E165" s="10" t="n"/>
    </row>
    <row r="166">
      <c r="A166" s="28" t="n"/>
      <c r="B166" s="10" t="n"/>
      <c r="C166" s="10" t="n"/>
      <c r="D166" s="30" t="n"/>
      <c r="E166" s="10" t="n"/>
    </row>
    <row r="167">
      <c r="A167" s="28" t="n"/>
      <c r="B167" s="10" t="n"/>
      <c r="C167" s="10" t="n"/>
      <c r="D167" s="30" t="n"/>
      <c r="E167" s="10" t="n"/>
    </row>
    <row r="168">
      <c r="A168" s="28" t="n"/>
      <c r="B168" s="10" t="n"/>
      <c r="C168" s="10" t="n"/>
      <c r="D168" s="30" t="n"/>
      <c r="E168" s="10" t="n"/>
    </row>
    <row r="169">
      <c r="A169" s="28" t="n"/>
      <c r="B169" s="10" t="n"/>
      <c r="C169" s="10" t="n"/>
      <c r="D169" s="30" t="n"/>
      <c r="E169" s="10" t="n"/>
    </row>
    <row r="170">
      <c r="A170" s="28" t="n"/>
      <c r="B170" s="10" t="n"/>
      <c r="C170" s="10" t="n"/>
      <c r="D170" s="30" t="n"/>
      <c r="E170" s="10" t="n"/>
    </row>
    <row r="171">
      <c r="A171" s="28" t="n"/>
      <c r="B171" s="10" t="n"/>
      <c r="C171" s="10" t="n"/>
      <c r="D171" s="30" t="n"/>
      <c r="E171" s="10" t="n"/>
    </row>
    <row r="172">
      <c r="A172" s="28" t="n"/>
      <c r="B172" s="10" t="n"/>
      <c r="C172" s="10" t="n"/>
      <c r="D172" s="30" t="n"/>
      <c r="E172" s="10" t="n"/>
    </row>
    <row r="173">
      <c r="A173" s="28" t="n"/>
      <c r="B173" s="10" t="n"/>
      <c r="C173" s="10" t="n"/>
      <c r="D173" s="30" t="n"/>
      <c r="E173" s="10" t="n"/>
    </row>
    <row r="174">
      <c r="A174" s="28" t="n"/>
      <c r="B174" s="10" t="n"/>
      <c r="C174" s="10" t="n"/>
      <c r="D174" s="30" t="n"/>
      <c r="E174" s="10" t="n"/>
    </row>
    <row r="175">
      <c r="A175" s="28" t="n"/>
      <c r="B175" s="10" t="n"/>
      <c r="C175" s="10" t="n"/>
      <c r="D175" s="30" t="n"/>
      <c r="E175" s="10" t="n"/>
    </row>
    <row r="176">
      <c r="A176" s="28" t="n"/>
      <c r="B176" s="10" t="n"/>
      <c r="C176" s="10" t="n"/>
      <c r="D176" s="30" t="n"/>
      <c r="E176" s="10" t="n"/>
    </row>
    <row r="177">
      <c r="A177" s="28" t="n"/>
      <c r="B177" s="10" t="n"/>
      <c r="C177" s="10" t="n"/>
      <c r="D177" s="30" t="n"/>
      <c r="E177" s="10" t="n"/>
    </row>
    <row r="178">
      <c r="A178" s="28" t="n"/>
      <c r="B178" s="10" t="n"/>
      <c r="C178" s="10" t="n"/>
      <c r="D178" s="30" t="n"/>
      <c r="E178" s="10" t="n"/>
    </row>
    <row r="179">
      <c r="A179" s="28" t="n"/>
      <c r="B179" s="10" t="n"/>
      <c r="C179" s="10" t="n"/>
      <c r="D179" s="30" t="n"/>
      <c r="E179" s="10" t="n"/>
    </row>
    <row r="180">
      <c r="A180" s="28" t="n"/>
      <c r="B180" s="10" t="n"/>
      <c r="C180" s="10" t="n"/>
      <c r="D180" s="30" t="n"/>
      <c r="E180" s="10" t="n"/>
    </row>
    <row r="181">
      <c r="A181" s="28" t="n"/>
      <c r="B181" s="10" t="n"/>
      <c r="C181" s="10" t="n"/>
      <c r="D181" s="30" t="n"/>
      <c r="E181" s="10" t="n"/>
    </row>
    <row r="182">
      <c r="A182" s="28" t="n"/>
      <c r="B182" s="10" t="n"/>
      <c r="C182" s="10" t="n"/>
      <c r="D182" s="30" t="n"/>
      <c r="E182" s="10" t="n"/>
    </row>
    <row r="183">
      <c r="A183" s="28" t="n"/>
      <c r="B183" s="10" t="n"/>
      <c r="C183" s="10" t="n"/>
      <c r="D183" s="30" t="n"/>
      <c r="E183" s="10" t="n"/>
    </row>
    <row r="184">
      <c r="A184" s="28" t="n"/>
      <c r="B184" s="10" t="n"/>
      <c r="C184" s="10" t="n"/>
      <c r="D184" s="30" t="n"/>
      <c r="E184" s="10" t="n"/>
    </row>
    <row r="185">
      <c r="A185" s="28" t="n"/>
      <c r="B185" s="10" t="n"/>
      <c r="C185" s="10" t="n"/>
      <c r="D185" s="30" t="n"/>
      <c r="E185" s="10" t="n"/>
    </row>
    <row r="186">
      <c r="A186" s="28" t="n"/>
      <c r="B186" s="10" t="n"/>
      <c r="C186" s="10" t="n"/>
      <c r="D186" s="30" t="n"/>
      <c r="E186" s="10" t="n"/>
    </row>
    <row r="187">
      <c r="A187" s="28" t="n"/>
      <c r="B187" s="10" t="n"/>
      <c r="C187" s="10" t="n"/>
      <c r="D187" s="30" t="n"/>
      <c r="E187" s="10" t="n"/>
    </row>
    <row r="188">
      <c r="A188" s="28" t="n"/>
      <c r="B188" s="10" t="n"/>
      <c r="C188" s="10" t="n"/>
      <c r="D188" s="30" t="n"/>
      <c r="E188" s="10" t="n"/>
    </row>
    <row r="189">
      <c r="A189" s="28" t="n"/>
      <c r="B189" s="10" t="n"/>
      <c r="C189" s="10" t="n"/>
      <c r="D189" s="30" t="n"/>
      <c r="E189" s="10" t="n"/>
    </row>
    <row r="190">
      <c r="A190" s="28" t="n"/>
      <c r="B190" s="10" t="n"/>
      <c r="C190" s="10" t="n"/>
      <c r="D190" s="30" t="n"/>
      <c r="E190" s="10" t="n"/>
    </row>
    <row r="191">
      <c r="A191" s="28" t="n"/>
      <c r="B191" s="10" t="n"/>
      <c r="C191" s="10" t="n"/>
      <c r="D191" s="30" t="n"/>
      <c r="E191" s="10" t="n"/>
    </row>
    <row r="192">
      <c r="A192" s="28" t="n"/>
      <c r="B192" s="10" t="n"/>
      <c r="C192" s="10" t="n"/>
      <c r="D192" s="30" t="n"/>
      <c r="E192" s="10" t="n"/>
    </row>
    <row r="193">
      <c r="A193" s="28" t="n"/>
      <c r="B193" s="10" t="n"/>
      <c r="C193" s="10" t="n"/>
      <c r="D193" s="30" t="n"/>
      <c r="E193" s="10" t="n"/>
    </row>
    <row r="194">
      <c r="A194" s="28" t="n"/>
      <c r="B194" s="10" t="n"/>
      <c r="C194" s="10" t="n"/>
      <c r="D194" s="30" t="n"/>
      <c r="E194" s="10" t="n"/>
    </row>
    <row r="195">
      <c r="A195" s="28" t="n"/>
      <c r="B195" s="10" t="n"/>
      <c r="C195" s="10" t="n"/>
      <c r="D195" s="30" t="n"/>
      <c r="E195" s="10" t="n"/>
    </row>
    <row r="196">
      <c r="A196" s="28" t="n"/>
      <c r="B196" s="10" t="n"/>
      <c r="C196" s="10" t="n"/>
      <c r="D196" s="30" t="n"/>
      <c r="E196" s="10" t="n"/>
    </row>
    <row r="197">
      <c r="A197" s="28" t="n"/>
      <c r="B197" s="10" t="n"/>
      <c r="C197" s="10" t="n"/>
      <c r="D197" s="30" t="n"/>
      <c r="E197" s="10" t="n"/>
    </row>
    <row r="198">
      <c r="A198" s="28" t="n"/>
      <c r="B198" s="10" t="n"/>
      <c r="C198" s="10" t="n"/>
      <c r="D198" s="30" t="n"/>
      <c r="E198" s="10" t="n"/>
    </row>
    <row r="199">
      <c r="A199" s="28" t="n"/>
      <c r="B199" s="10" t="n"/>
      <c r="C199" s="10" t="n"/>
      <c r="D199" s="30" t="n"/>
      <c r="E199" s="10" t="n"/>
    </row>
    <row r="200">
      <c r="A200" s="28" t="n"/>
      <c r="B200" s="10" t="n"/>
      <c r="C200" s="10" t="n"/>
      <c r="D200" s="30" t="n"/>
      <c r="E200" s="10" t="n"/>
    </row>
    <row r="201">
      <c r="A201" s="28" t="n"/>
      <c r="B201" s="10" t="n"/>
      <c r="C201" s="10" t="n"/>
      <c r="D201" s="30" t="n"/>
      <c r="E201" s="10" t="n"/>
    </row>
    <row r="202">
      <c r="A202" s="28" t="n"/>
      <c r="B202" s="10" t="n"/>
      <c r="C202" s="10" t="n"/>
      <c r="D202" s="30" t="n"/>
      <c r="E202" s="10" t="n"/>
    </row>
    <row r="203">
      <c r="A203" s="28" t="n"/>
      <c r="B203" s="10" t="n"/>
      <c r="C203" s="10" t="n"/>
      <c r="D203" s="30" t="n"/>
      <c r="E203" s="10" t="n"/>
    </row>
    <row r="204">
      <c r="A204" s="28" t="n"/>
      <c r="B204" s="10" t="n"/>
      <c r="C204" s="10" t="n"/>
      <c r="D204" s="30" t="n"/>
      <c r="E204" s="10" t="n"/>
    </row>
    <row r="205">
      <c r="A205" s="6" t="inlineStr">
        <is>
          <t>TOTAL</t>
        </is>
      </c>
      <c r="B205" s="5" t="n"/>
      <c r="C205" s="5" t="n"/>
      <c r="D205" s="19">
        <f>SUM(D5:D204)</f>
        <v/>
      </c>
      <c r="E205" s="5" t="n"/>
    </row>
  </sheetData>
  <dataValidations count="1">
    <dataValidation sqref="C5:C204" showDropDown="0" showInputMessage="0" showErrorMessage="0" allowBlank="0" type="list">
      <formula1>"Contabilidad,Herramientas,Marketing,Movilidad,Legal,Capacitación,Otros"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2026-09-29T22:58:17Z</dcterms:created>
  <dcterms:modified xsi:type="dcterms:W3CDTF">2026-09-29T22:58:17Z</dcterms:modified>
</cp:coreProperties>
</file>